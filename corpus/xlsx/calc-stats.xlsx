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n">
        <v>4</v>
      </c>
      <c r="D1" s="0" t="n">
        <f aca="false">SUM(A1:A8)</f>
        <v>132</v>
      </c>
    </row>
    <row r="2" customFormat="false" ht="15" hidden="false" customHeight="false" outlineLevel="0" collapsed="false">
      <c r="A2" s="0" t="n">
        <v>15</v>
      </c>
      <c r="D2" s="0" t="n">
        <f aca="false">AVERAGE(A1:A8)</f>
        <v>16.5</v>
      </c>
    </row>
    <row r="3" customFormat="false" ht="15" hidden="false" customHeight="false" outlineLevel="0" collapsed="false">
      <c r="A3" s="0" t="n">
        <v>8</v>
      </c>
      <c r="D3" s="0" t="n">
        <f aca="false">MEDIAN(A1:A8)</f>
        <v>15</v>
      </c>
    </row>
    <row r="4" customFormat="false" ht="15" hidden="false" customHeight="false" outlineLevel="0" collapsed="false">
      <c r="A4" s="0" t="n">
        <v>23</v>
      </c>
      <c r="D4" s="0" t="n">
        <f aca="false">MIN(A1:A8)</f>
        <v>4</v>
      </c>
    </row>
    <row r="5" customFormat="false" ht="15" hidden="false" customHeight="false" outlineLevel="0" collapsed="false">
      <c r="A5" s="0" t="n">
        <v>42</v>
      </c>
      <c r="D5" s="0" t="n">
        <f aca="false">MAX(A1:A8)</f>
        <v>42</v>
      </c>
    </row>
    <row r="6" customFormat="false" ht="15" hidden="false" customHeight="false" outlineLevel="0" collapsed="false">
      <c r="A6" s="0" t="n">
        <v>16</v>
      </c>
      <c r="D6" s="0" t="n">
        <f aca="false">COUNT(A1:A8)</f>
        <v>8</v>
      </c>
    </row>
    <row r="7" customFormat="false" ht="15" hidden="false" customHeight="false" outlineLevel="0" collapsed="false">
      <c r="A7" s="0" t="n">
        <v>15</v>
      </c>
      <c r="D7" s="0" t="n">
        <f aca="false">COUNTA(A1:A8)</f>
        <v>8</v>
      </c>
    </row>
    <row r="8" customFormat="false" ht="15" hidden="false" customHeight="false" outlineLevel="0" collapsed="false">
      <c r="A8" s="0" t="n">
        <v>9</v>
      </c>
      <c r="D8" s="0" t="n">
        <f aca="false">COUNTBLANK(A1:B8)</f>
        <v>8</v>
      </c>
    </row>
    <row r="9" customFormat="false" ht="15" hidden="false" customHeight="false" outlineLevel="0" collapsed="false">
      <c r="D9" s="0" t="n">
        <f aca="false">STDEV(A1:A8)</f>
        <v>11.8442270446709</v>
      </c>
    </row>
    <row r="10" customFormat="false" ht="15" hidden="false" customHeight="false" outlineLevel="0" collapsed="false">
      <c r="D10" s="0" t="n">
        <f aca="false">STDEVP(A1:A8)</f>
        <v>11.0792599030802</v>
      </c>
    </row>
    <row r="11" customFormat="false" ht="15" hidden="false" customHeight="false" outlineLevel="0" collapsed="false">
      <c r="D11" s="0" t="n">
        <f aca="false">VAR(A1:A8)</f>
        <v>140.285714285714</v>
      </c>
    </row>
    <row r="12" customFormat="false" ht="15" hidden="false" customHeight="false" outlineLevel="0" collapsed="false">
      <c r="D12" s="0" t="n">
        <f aca="false">VARP(A1:A8)</f>
        <v>122.75</v>
      </c>
    </row>
    <row r="13" customFormat="false" ht="15" hidden="false" customHeight="false" outlineLevel="0" collapsed="false">
      <c r="D13" s="0" t="n">
        <f aca="false">LARGE(A1:A8,2)</f>
        <v>23</v>
      </c>
    </row>
    <row r="14" customFormat="false" ht="15" hidden="false" customHeight="false" outlineLevel="0" collapsed="false">
      <c r="D14" s="0" t="n">
        <f aca="false">SMALL(A1:A8,3)</f>
        <v>9</v>
      </c>
    </row>
    <row r="15" customFormat="false" ht="15" hidden="false" customHeight="false" outlineLevel="0" collapsed="false">
      <c r="D15" s="0" t="n">
        <f aca="false">RANK(15,A1:A8)</f>
        <v>4</v>
      </c>
    </row>
    <row r="16" customFormat="false" ht="15" hidden="false" customHeight="false" outlineLevel="0" collapsed="false">
      <c r="D16" s="0" t="n">
        <f aca="false">RANK(15,A1:A8,1)</f>
        <v>4</v>
      </c>
    </row>
    <row r="17" customFormat="false" ht="15" hidden="false" customHeight="false" outlineLevel="0" collapsed="false">
      <c r="D17" s="0" t="n">
        <f aca="false">MODE(A1:A8)</f>
        <v>15</v>
      </c>
    </row>
    <row r="18" customFormat="false" ht="15" hidden="false" customHeight="false" outlineLevel="0" collapsed="false">
      <c r="D18" s="0" t="n">
        <f aca="false">PERCENTILE(A1:A8,0.5)</f>
        <v>15</v>
      </c>
    </row>
    <row r="19" customFormat="false" ht="15" hidden="false" customHeight="false" outlineLevel="0" collapsed="false">
      <c r="D19" s="0" t="n">
        <f aca="false">PERCENTILE(A1:A8,0.25)</f>
        <v>8.75</v>
      </c>
    </row>
    <row r="20" customFormat="false" ht="15" hidden="false" customHeight="false" outlineLevel="0" collapsed="false">
      <c r="D20" s="0" t="n">
        <f aca="false">QUARTILE(A1:A8,1)</f>
        <v>8.75</v>
      </c>
    </row>
    <row r="21" customFormat="false" ht="15" hidden="false" customHeight="false" outlineLevel="0" collapsed="false">
      <c r="D21" s="0" t="n">
        <f aca="false">QUARTILE(A1:A8,3)</f>
        <v>17.75</v>
      </c>
    </row>
    <row r="22" customFormat="false" ht="15" hidden="false" customHeight="false" outlineLevel="0" collapsed="false">
      <c r="D22" s="0" t="n">
        <f aca="false">SUMPRODUCT(A1:A4,A5:A8)</f>
        <v>735</v>
      </c>
    </row>
    <row r="23" customFormat="false" ht="15" hidden="false" customHeight="false" outlineLevel="0" collapsed="false">
      <c r="D23" s="0" t="n">
        <f aca="false">PRODUCT(A1:A3)</f>
        <v>480</v>
      </c>
    </row>
    <row r="24" customFormat="false" ht="15" hidden="false" customHeight="false" outlineLevel="0" collapsed="false">
      <c r="D24" s="0" t="n">
        <f aca="false">SUM(A:A)</f>
        <v>132</v>
      </c>
    </row>
    <row r="25" customFormat="false" ht="15" hidden="false" customHeight="false" outlineLevel="0" collapsed="false">
      <c r="D25" s="0" t="n">
        <f aca="false">COUNT(A:A)</f>
        <v>8</v>
      </c>
    </row>
    <row r="26" customFormat="false" ht="15" hidden="false" customHeight="false" outlineLevel="0" collapsed="false">
      <c r="D26" s="0" t="n">
        <f aca="false">AVERAGE(A1:A4,A5)</f>
        <v>18.4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2026-07-11T08:27:32Z</dcterms:created>
  <dc:creator>openpyxl</dc:creator>
  <dc:description/>
  <dc:language>en-US</dc:language>
  <cp:lastModifiedBy/>
  <dcterms:modified xsi:type="dcterms:W3CDTF">2026-07-11T08:27:32Z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