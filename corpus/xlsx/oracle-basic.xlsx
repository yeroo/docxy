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inlineStr">
        <is>
          <t>alpha</t>
        </is>
      </c>
      <c r="D1">
        <f>SUM(A1:A6)</f>
        <v>108</v>
      </c>
    </row>
    <row r="2">
      <c r="A2" t="n">
        <v>15</v>
      </c>
      <c r="B2" t="inlineStr">
        <is>
          <t>beta</t>
        </is>
      </c>
      <c r="D2">
        <f>AVERAGE(A1:A6)</f>
        <v>18</v>
      </c>
    </row>
    <row r="3">
      <c r="A3" t="n">
        <v>8</v>
      </c>
      <c r="B3" t="inlineStr">
        <is>
          <t>gamma</t>
        </is>
      </c>
      <c r="D3">
        <f>MIN(A1:A6)*MAX(A1:A6)</f>
        <v>168</v>
      </c>
    </row>
    <row r="4">
      <c r="A4" t="n">
        <v>23</v>
      </c>
      <c r="B4" t="inlineStr">
        <is>
          <t>delta</t>
        </is>
      </c>
      <c r="D4">
        <f>COUNT(A:A)</f>
        <v>6</v>
      </c>
    </row>
    <row r="5">
      <c r="A5" t="n">
        <v>42</v>
      </c>
      <c r="B5" t="inlineStr">
        <is>
          <t>epsilon</t>
        </is>
      </c>
      <c r="D5">
        <f>COUNTA(B1:B6)</f>
        <v>6</v>
      </c>
    </row>
    <row r="6">
      <c r="A6" t="n">
        <v>16</v>
      </c>
      <c r="B6" t="inlineStr">
        <is>
          <t>zeta</t>
        </is>
      </c>
      <c r="D6" t="str">
        <f>IF(A1&gt;3,"big","small")</f>
        <v>big</v>
      </c>
    </row>
    <row r="7">
      <c r="D7">
        <f>ROUND(A2/A3,3)</f>
        <v>1.875</v>
      </c>
    </row>
    <row r="8">
      <c r="D8">
        <f>SUMIF(A1:A6,"&gt;10")</f>
        <v>96</v>
      </c>
    </row>
    <row r="9">
      <c r="D9">
        <f>COUNTIF(B1:B6,"*a")</f>
        <v>5</v>
      </c>
    </row>
    <row r="10">
      <c r="D10" t="str">
        <f>CONCATENATE(B1,"-",B2)</f>
        <v>alpha-beta</v>
      </c>
    </row>
    <row r="11">
      <c r="D11" t="str">
        <f>UPPER(B3)&amp;LOWER("XY")</f>
        <v>GAMMAxy</v>
      </c>
    </row>
    <row r="12">
      <c r="D12">
        <f>LEN(B5)</f>
        <v>7</v>
      </c>
    </row>
    <row r="13">
      <c r="D13" t="str">
        <f>LEFT(B4,3)</f>
        <v>del</v>
      </c>
    </row>
    <row r="14">
      <c r="D14" t="str">
        <f>MID(B5,2,3)</f>
        <v>psi</v>
      </c>
    </row>
    <row r="15">
      <c r="D15" t="str">
        <f>VLOOKUP("delta",B1:B6,1,FALSE)</f>
        <v>delta</v>
      </c>
    </row>
    <row r="16">
      <c r="D16">
        <f>MATCH(23,A1:A6,0)</f>
        <v>4</v>
      </c>
    </row>
    <row r="17">
      <c r="D17">
        <f>INDEX(A1:A6,4)</f>
        <v>23</v>
      </c>
    </row>
    <row r="18">
      <c r="D18">
        <f>MOD(A4,A3)</f>
        <v>7</v>
      </c>
    </row>
    <row r="19">
      <c r="D19">
        <f>POWER(A1,2)</f>
        <v>16</v>
      </c>
    </row>
    <row r="20">
      <c r="D20">
        <f>SQRT(A5-A3+7)</f>
        <v>6.403124237432849</v>
      </c>
    </row>
    <row r="21">
      <c r="D21">
        <f>A1+A2*A3-A4/A5</f>
        <v>123.4523809523809</v>
      </c>
    </row>
    <row r="22">
      <c r="D22">
        <f>SUM(A1:A3,A5)</f>
        <v>69</v>
      </c>
    </row>
    <row r="23">
      <c r="D23">
        <f>MEDIAN(A1:A6)</f>
        <v>15.5</v>
      </c>
    </row>
    <row r="24">
      <c r="D24">
        <f>ABS(A3-A5)</f>
        <v>34</v>
      </c>
    </row>
    <row r="25">
      <c r="D25">
        <f>INT(A2/A1)</f>
        <v>3</v>
      </c>
    </row>
    <row r="26">
      <c r="D26">
        <f>TRUNC(A4/A2,2)</f>
        <v>1.53</v>
      </c>
    </row>
    <row r="27">
      <c r="D27">
        <f>IF(AND(A1&lt;A2,A3&lt;A4),SUM(A1:A2),0)</f>
        <v>19</v>
      </c>
    </row>
    <row r="28">
      <c r="D28" t="b">
        <f>OR(A1&gt;100,A2&gt;10)</f>
        <v>1</v>
      </c>
    </row>
    <row r="29">
      <c r="D29" t="b">
        <f>NOT(A1=4)</f>
        <v>0</v>
      </c>
    </row>
    <row r="30">
      <c r="D30">
        <f>IFERROR(A1/0,-1)</f>
        <v>-1</v>
      </c>
    </row>
    <row r="31">
      <c r="D31">
        <f>SMALL(A1:A6,2)</f>
        <v>8</v>
      </c>
    </row>
    <row r="32">
      <c r="D32">
        <f>LARGE(A1:A6,2)</f>
        <v>23</v>
      </c>
    </row>
    <row r="33">
      <c r="D33">
        <f>SUMPRODUCT(A1:A3,A4:A6)</f>
        <v>850</v>
      </c>
    </row>
    <row r="34">
      <c r="D34" t="str">
        <f>TRIM("  x  y  ")</f>
        <v>x y</v>
      </c>
    </row>
    <row r="35">
      <c r="D35" t="str">
        <f>SUBSTITUTE(B6,"z","Z")</f>
        <v>Zeta</v>
      </c>
    </row>
    <row r="36">
      <c r="D36">
        <f>FIND("e",B4)</f>
        <v>2</v>
      </c>
    </row>
    <row r="37">
      <c r="D37" t="b">
        <f>EXACT(B1,"Alpha")</f>
        <v>0</v>
      </c>
    </row>
    <row r="38">
      <c r="D38">
        <f>CHOOSE(3,A1,A2,A3)</f>
        <v>8</v>
      </c>
    </row>
    <row r="39">
      <c r="D39">
        <f>PMT(0.05/12,60,10000)</f>
        <v>-188.7123364401099</v>
      </c>
    </row>
    <row r="40">
      <c r="D40">
        <f>NPV(0.08,A1,A2,A3)</f>
        <v>22.91444393639181</v>
      </c>
    </row>
    <row r="41">
      <c r="D41">
        <f>STDEV(A1:A6)</f>
        <v>13.49073756323204</v>
      </c>
    </row>
    <row r="42">
      <c r="D42">
        <f>VAR(A1:A6)</f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2026-07-10T23:38:29Z</dcterms:created>
  <dcterms:modified xsi:type="dcterms:W3CDTF">2026-07-10T23:38:35Z</dcterms:modified>
</cp:coreProperties>
</file>