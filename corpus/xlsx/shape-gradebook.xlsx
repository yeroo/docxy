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ra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<sst xmlns="http://schemas.openxmlformats.org/spreadsheetml/2006/main" count="8" uniqueCount="8">
  <si>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name</t>
  </si>
  <si>
    <t xml:space="preserve">mid</t>
  </si>
  <si>
    <t xml:space="preserve">final</t>
  </si>
  <si>
    <t xml:space="preserve">Ana</t>
  </si>
  <si>
    <t xml:space="preserve">Ben</t>
  </si>
  <si>
    <t xml:space="preserve">Cleo</t>
  </si>
  <si>
    <t xml:space="preserve">Dan</t>
  </si>
  <si>
    <t xml:space="preserve">Eve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</si>
</sst>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G1" s="0" t="n">
        <f aca="false">AVERAGE(D2:D6)</f>
        <v>77.32</v>
      </c>
    </row>
    <row r="2" customFormat="false" ht="15" hidden="false" customHeight="false" outlineLevel="0" collapsed="false">
      <c r="A2" s="0" t="s">
        <v>3</v>
      </c>
      <c r="B2" s="0" t="n">
        <v>78</v>
      </c>
      <c r="C2" s="0" t="n">
        <v>91</v>
      </c>
      <c r="D2" s="0" t="n">
        <f aca="false">0.4*B2+0.6*C2</f>
        <v>85.8</v>
      </c>
      <c r="E2" s="0" t="str">
        <f aca="false">IF(D2&gt;=90,"A",IF(D2&gt;=80,"B",IF(D2&gt;=70,"C","F")))</f>
        <v>B</v>
      </c>
      <c r="G2" s="0" t="n">
        <f aca="false">MAX(D2:D6)</f>
        <v>91</v>
      </c>
    </row>
    <row r="3" customFormat="false" ht="15" hidden="false" customHeight="false" outlineLevel="0" collapsed="false">
      <c r="A3" s="0" t="s">
        <v>4</v>
      </c>
      <c r="B3" s="0" t="n">
        <v>55</v>
      </c>
      <c r="C3" s="0" t="n">
        <v>64</v>
      </c>
      <c r="D3" s="0" t="n">
        <f aca="false">0.4*B3+0.6*C3</f>
        <v>60.4</v>
      </c>
      <c r="E3" s="0" t="str">
        <f aca="false">IF(D3&gt;=90,"A",IF(D3&gt;=80,"B",IF(D3&gt;=70,"C","F")))</f>
        <v>F</v>
      </c>
      <c r="G3" s="0" t="n">
        <f aca="false">COUNTIF(E2:E6,"F")</f>
        <v>2</v>
      </c>
    </row>
    <row r="4" customFormat="false" ht="15" hidden="false" customHeight="false" outlineLevel="0" collapsed="false">
      <c r="A4" s="0" t="s">
        <v>5</v>
      </c>
      <c r="B4" s="0" t="n">
        <v>92</v>
      </c>
      <c r="C4" s="0" t="n">
        <v>88</v>
      </c>
      <c r="D4" s="0" t="n">
        <f aca="false">0.4*B4+0.6*C4</f>
        <v>89.6</v>
      </c>
      <c r="E4" s="0" t="str">
        <f aca="false">IF(D4&gt;=90,"A",IF(D4&gt;=80,"B",IF(D4&gt;=70,"C","F")))</f>
        <v>B</v>
      </c>
      <c r="G4" s="0" t="str">
        <f aca="false">INDEX(A2:A6,MATCH(MAX(D2:D6),D2:D6,0))</f>
        <v>Eve</v>
      </c>
    </row>
    <row r="5" customFormat="false" ht="15" hidden="false" customHeight="false" outlineLevel="0" collapsed="false">
      <c r="A5" s="0" t="s">
        <v>6</v>
      </c>
      <c r="B5" s="0" t="n">
        <v>43</v>
      </c>
      <c r="C5" s="0" t="n">
        <v>71</v>
      </c>
      <c r="D5" s="0" t="n">
        <f aca="false">0.4*B5+0.6*C5</f>
        <v>59.8</v>
      </c>
      <c r="E5" s="0" t="str">
        <f aca="false">IF(D5&gt;=90,"A",IF(D5&gt;=80,"B",IF(D5&gt;=70,"C","F")))</f>
        <v>F</v>
      </c>
    </row>
    <row r="6" customFormat="false" ht="15" hidden="false" customHeight="false" outlineLevel="0" collapsed="false">
      <c r="A6" s="0" t="s">
        <v>7</v>
      </c>
      <c r="B6" s="0" t="n">
        <v>85</v>
      </c>
      <c r="C6" s="0" t="n">
        <v>95</v>
      </c>
      <c r="D6" s="0" t="n">
        <f aca="false">0.4*B6+0.6*C6</f>
        <v>91</v>
      </c>
      <c r="E6" s="0" t="str">
        <f aca="false">IF(D6&gt;=90,"A",IF(D6&gt;=80,"B",IF(D6&gt;=70,"C","F")))</f>
        <v>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2026-07-11T08:27:32Z</dcterms:created>
  <dc:creator>openpyxl</dc:creator>
  <dc:description/>
  <dc:language>en-US</dc:language>
  <cp:lastModifiedBy/>
  <dcterms:modified xsi:type="dcterms:W3CDTF">2026-07-11T08:27:32Z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