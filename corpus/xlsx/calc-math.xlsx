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t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2.567</v>
      </c>
      <c r="D1" s="0" t="n">
        <f aca="false">ROUND(A1,2)</f>
        <v>2.57</v>
      </c>
    </row>
    <row r="2" customFormat="false" ht="15" hidden="false" customHeight="false" outlineLevel="0" collapsed="false">
      <c r="A2" s="0" t="n">
        <v>-8.4</v>
      </c>
      <c r="D2" s="0" t="n">
        <f aca="false">ROUND(-2.5,0)</f>
        <v>-3</v>
      </c>
    </row>
    <row r="3" customFormat="false" ht="15" hidden="false" customHeight="false" outlineLevel="0" collapsed="false">
      <c r="A3" s="0" t="n">
        <v>16</v>
      </c>
      <c r="D3" s="0" t="n">
        <f aca="false">ROUNDUP(A1,1)</f>
        <v>2.6</v>
      </c>
    </row>
    <row r="4" customFormat="false" ht="15" hidden="false" customHeight="false" outlineLevel="0" collapsed="false">
      <c r="A4" s="0" t="n">
        <v>5</v>
      </c>
      <c r="D4" s="0" t="n">
        <f aca="false">ROUNDDOWN(A1,1)</f>
        <v>2.5</v>
      </c>
    </row>
    <row r="5" customFormat="false" ht="15" hidden="false" customHeight="false" outlineLevel="0" collapsed="false">
      <c r="A5" s="0" t="n">
        <v>12</v>
      </c>
      <c r="D5" s="0" t="n">
        <f aca="false">INT(A2)</f>
        <v>-9</v>
      </c>
    </row>
    <row r="6" customFormat="false" ht="15" hidden="false" customHeight="false" outlineLevel="0" collapsed="false">
      <c r="A6" s="0" t="n">
        <v>30</v>
      </c>
      <c r="D6" s="0" t="n">
        <f aca="false">TRUNC(A2)</f>
        <v>-8</v>
      </c>
    </row>
    <row r="7" customFormat="false" ht="15" hidden="false" customHeight="false" outlineLevel="0" collapsed="false">
      <c r="D7" s="0" t="n">
        <f aca="false">TRUNC(A1,1)</f>
        <v>2.5</v>
      </c>
    </row>
    <row r="8" customFormat="false" ht="15" hidden="false" customHeight="false" outlineLevel="0" collapsed="false">
      <c r="D8" s="0" t="n">
        <f aca="false">ABS(A2)</f>
        <v>8.4</v>
      </c>
    </row>
    <row r="9" customFormat="false" ht="15" hidden="false" customHeight="false" outlineLevel="0" collapsed="false">
      <c r="D9" s="0" t="n">
        <f aca="false">SIGN(A2)</f>
        <v>-1</v>
      </c>
    </row>
    <row r="10" customFormat="false" ht="15" hidden="false" customHeight="false" outlineLevel="0" collapsed="false">
      <c r="D10" s="0" t="n">
        <f aca="false">MOD(-3,2)</f>
        <v>1</v>
      </c>
    </row>
    <row r="11" customFormat="false" ht="15" hidden="false" customHeight="false" outlineLevel="0" collapsed="false">
      <c r="D11" s="0" t="n">
        <f aca="false">MOD(10,3)</f>
        <v>1</v>
      </c>
    </row>
    <row r="12" customFormat="false" ht="15" hidden="false" customHeight="false" outlineLevel="0" collapsed="false">
      <c r="D12" s="0" t="n">
        <f aca="false">POWER(2,10)</f>
        <v>1024</v>
      </c>
    </row>
    <row r="13" customFormat="false" ht="15" hidden="false" customHeight="false" outlineLevel="0" collapsed="false">
      <c r="D13" s="0" t="n">
        <f aca="false">SQRT(A3)</f>
        <v>4</v>
      </c>
    </row>
    <row r="14" customFormat="false" ht="15" hidden="false" customHeight="false" outlineLevel="0" collapsed="false">
      <c r="D14" s="0" t="n">
        <f aca="false">EXP(1)</f>
        <v>2.71828182845905</v>
      </c>
    </row>
    <row r="15" customFormat="false" ht="15" hidden="false" customHeight="false" outlineLevel="0" collapsed="false">
      <c r="D15" s="0" t="n">
        <f aca="false">LN(A3)</f>
        <v>2.77258872223978</v>
      </c>
    </row>
    <row r="16" customFormat="false" ht="15" hidden="false" customHeight="false" outlineLevel="0" collapsed="false">
      <c r="D16" s="0" t="n">
        <f aca="false">LOG(1000)</f>
        <v>3</v>
      </c>
    </row>
    <row r="17" customFormat="false" ht="15" hidden="false" customHeight="false" outlineLevel="0" collapsed="false">
      <c r="D17" s="0" t="n">
        <f aca="false">LOG(8,2)</f>
        <v>3</v>
      </c>
    </row>
    <row r="18" customFormat="false" ht="15" hidden="false" customHeight="false" outlineLevel="0" collapsed="false">
      <c r="D18" s="0" t="n">
        <f aca="false">LOG10(A5*0+100)</f>
        <v>2</v>
      </c>
    </row>
    <row r="19" customFormat="false" ht="15" hidden="false" customHeight="false" outlineLevel="0" collapsed="false">
      <c r="D19" s="0" t="n">
        <f aca="false">PI()</f>
        <v>3.14159265358979</v>
      </c>
    </row>
    <row r="20" customFormat="false" ht="15" hidden="false" customHeight="false" outlineLevel="0" collapsed="false">
      <c r="D20" s="0" t="n">
        <f aca="false">SIN(PI()/2)</f>
        <v>1</v>
      </c>
    </row>
    <row r="21" customFormat="false" ht="15" hidden="false" customHeight="false" outlineLevel="0" collapsed="false">
      <c r="D21" s="0" t="n">
        <f aca="false">COS(0)</f>
        <v>1</v>
      </c>
    </row>
    <row r="22" customFormat="false" ht="15" hidden="false" customHeight="false" outlineLevel="0" collapsed="false">
      <c r="D22" s="0" t="n">
        <f aca="false">DEGREES(PI())</f>
        <v>180</v>
      </c>
    </row>
    <row r="23" customFormat="false" ht="15" hidden="false" customHeight="false" outlineLevel="0" collapsed="false">
      <c r="D23" s="0" t="n">
        <f aca="false">RADIANS(180)</f>
        <v>3.14159265358979</v>
      </c>
    </row>
    <row r="24" customFormat="false" ht="15" hidden="false" customHeight="false" outlineLevel="0" collapsed="false">
      <c r="D24" s="0" t="n">
        <f aca="false">FLOOR(A1,0.5)</f>
        <v>2.5</v>
      </c>
    </row>
    <row r="25" customFormat="false" ht="15" hidden="false" customHeight="false" outlineLevel="0" collapsed="false">
      <c r="D25" s="0" t="n">
        <f aca="false">CEILING(A1,0.5)</f>
        <v>3</v>
      </c>
    </row>
    <row r="26" customFormat="false" ht="15" hidden="false" customHeight="false" outlineLevel="0" collapsed="false">
      <c r="D26" s="0" t="n">
        <f aca="false">EVEN(1.5)</f>
        <v>2</v>
      </c>
    </row>
    <row r="27" customFormat="false" ht="15" hidden="false" customHeight="false" outlineLevel="0" collapsed="false">
      <c r="D27" s="0" t="n">
        <f aca="false">ODD(2.5)</f>
        <v>3</v>
      </c>
    </row>
    <row r="28" customFormat="false" ht="15" hidden="false" customHeight="false" outlineLevel="0" collapsed="false">
      <c r="D28" s="0" t="n">
        <f aca="false">FACT(6)</f>
        <v>720</v>
      </c>
    </row>
    <row r="29" customFormat="false" ht="15" hidden="false" customHeight="false" outlineLevel="0" collapsed="false">
      <c r="D29" s="0" t="n">
        <f aca="false">GCD(A4,A5+3)</f>
        <v>5</v>
      </c>
    </row>
    <row r="30" customFormat="false" ht="15" hidden="false" customHeight="false" outlineLevel="0" collapsed="false">
      <c r="D30" s="0" t="n">
        <f aca="false">LCM(4,6)</f>
        <v>12</v>
      </c>
    </row>
    <row r="31" customFormat="false" ht="15" hidden="false" customHeight="false" outlineLevel="0" collapsed="false">
      <c r="D31" s="0" t="n">
        <f aca="false">COMBIN(8,2)</f>
        <v>28</v>
      </c>
    </row>
    <row r="32" customFormat="false" ht="15" hidden="false" customHeight="false" outlineLevel="0" collapsed="false">
      <c r="D32" s="0" t="n">
        <f aca="false">PERMUT(8,2)</f>
        <v>56</v>
      </c>
    </row>
    <row r="33" customFormat="false" ht="15" hidden="false" customHeight="false" outlineLevel="0" collapsed="false">
      <c r="D33" s="0" t="n">
        <f aca="false">SUMSQ(3,4)</f>
        <v>25</v>
      </c>
    </row>
    <row r="34" customFormat="false" ht="15" hidden="false" customHeight="false" outlineLevel="0" collapsed="false">
      <c r="D34" s="0" t="n">
        <f aca="false">QUOTIENT(10,3)</f>
        <v>3</v>
      </c>
    </row>
    <row r="35" customFormat="false" ht="15" hidden="false" customHeight="false" outlineLevel="0" collapsed="false">
      <c r="D35" s="0" t="n">
        <f aca="false">ATAN2(1,1)</f>
        <v>0.785398163397448</v>
      </c>
    </row>
    <row r="36" customFormat="false" ht="15" hidden="false" customHeight="false" outlineLevel="0" collapsed="false">
      <c r="D36" s="0" t="n">
        <f aca="false">SINH(1)</f>
        <v>1.1752011936438</v>
      </c>
    </row>
    <row r="37" customFormat="false" ht="15" hidden="false" customHeight="false" outlineLevel="0" collapsed="false">
      <c r="D37" s="0" t="n">
        <f aca="false">COSH(1)</f>
        <v>1.54308063481524</v>
      </c>
    </row>
    <row r="38" customFormat="false" ht="15" hidden="false" customHeight="false" outlineLevel="0" collapsed="false">
      <c r="D38" s="0" t="n">
        <f aca="false">TANH(1)</f>
        <v>0.761594155955765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2026-07-11T08:27:32Z</dcterms:created>
  <dc:creator>openpyxl</dc:creator>
  <dc:description/>
  <dc:language>en-US</dc:language>
  <cp:lastModifiedBy/>
  <dcterms:modified xsi:type="dcterms:W3CDTF">2026-07-11T08:27:32Z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