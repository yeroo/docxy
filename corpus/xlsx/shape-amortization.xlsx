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<sst xmlns="http://schemas.openxmlformats.org/spreadsheetml/2006/main" count="6" uniqueCount="6">
  <si>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rate</t>
  </si>
  <si>
    <t xml:space="preserve">payment</t>
  </si>
  <si>
    <t xml:space="preserve">month</t>
  </si>
  <si>
    <t xml:space="preserve">balance</t>
  </si>
  <si>
    <t xml:space="preserve">interest</t>
  </si>
  <si>
    <t xml:space="preserve">principal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</si>
</sst>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0.005</v>
      </c>
      <c r="F1" s="1" t="n">
        <f aca="false">SUM(C5:C28)</f>
        <v>636.946460661657</v>
      </c>
    </row>
    <row r="2" customFormat="false" ht="15" hidden="false" customHeight="false" outlineLevel="0" collapsed="false">
      <c r="A2" s="0" t="s">
        <v>1</v>
      </c>
      <c r="B2" s="1" t="n">
        <f aca="false">-PMT($B$1,24,10000)</f>
        <v>443.206102527569</v>
      </c>
      <c r="F2" s="1" t="n">
        <f aca="false">SUM(D5:D28)</f>
        <v>10000</v>
      </c>
    </row>
    <row r="3" customFormat="false" ht="15" hidden="false" customHeight="false" outlineLevel="0" collapsed="false">
      <c r="F3" s="1" t="n">
        <f aca="false">B28-D28</f>
        <v>0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</row>
    <row r="5" customFormat="false" ht="15" hidden="false" customHeight="false" outlineLevel="0" collapsed="false">
      <c r="A5" s="0" t="n">
        <v>1</v>
      </c>
      <c r="B5" s="0" t="n">
        <v>10000</v>
      </c>
      <c r="C5" s="0" t="n">
        <f aca="false">B5*$B$1</f>
        <v>50</v>
      </c>
      <c r="D5" s="1" t="n">
        <f aca="false">$B$2-C5</f>
        <v>393.206102527569</v>
      </c>
    </row>
    <row r="6" customFormat="false" ht="15" hidden="false" customHeight="false" outlineLevel="0" collapsed="false">
      <c r="A6" s="0" t="n">
        <f aca="false">A5+1</f>
        <v>2</v>
      </c>
      <c r="B6" s="1" t="n">
        <f aca="false">B5-D5</f>
        <v>9606.79389747243</v>
      </c>
      <c r="C6" s="1" t="n">
        <f aca="false">B6*$B$1</f>
        <v>48.0339694873622</v>
      </c>
      <c r="D6" s="1" t="n">
        <f aca="false">$B$2-C6</f>
        <v>395.172133040207</v>
      </c>
    </row>
    <row r="7" customFormat="false" ht="15" hidden="false" customHeight="false" outlineLevel="0" collapsed="false">
      <c r="A7" s="0" t="n">
        <f aca="false">A6+1</f>
        <v>3</v>
      </c>
      <c r="B7" s="1" t="n">
        <f aca="false">B6-D6</f>
        <v>9211.62176443222</v>
      </c>
      <c r="C7" s="1" t="n">
        <f aca="false">B7*$B$1</f>
        <v>46.0581088221611</v>
      </c>
      <c r="D7" s="1" t="n">
        <f aca="false">$B$2-C7</f>
        <v>397.147993705408</v>
      </c>
    </row>
    <row r="8" customFormat="false" ht="15" hidden="false" customHeight="false" outlineLevel="0" collapsed="false">
      <c r="A8" s="0" t="n">
        <f aca="false">A7+1</f>
        <v>4</v>
      </c>
      <c r="B8" s="1" t="n">
        <f aca="false">B7-D7</f>
        <v>8814.47377072682</v>
      </c>
      <c r="C8" s="1" t="n">
        <f aca="false">B8*$B$1</f>
        <v>44.0723688536341</v>
      </c>
      <c r="D8" s="1" t="n">
        <f aca="false">$B$2-C8</f>
        <v>399.133733673935</v>
      </c>
    </row>
    <row r="9" customFormat="false" ht="15" hidden="false" customHeight="false" outlineLevel="0" collapsed="false">
      <c r="A9" s="0" t="n">
        <f aca="false">A8+1</f>
        <v>5</v>
      </c>
      <c r="B9" s="1" t="n">
        <f aca="false">B8-D8</f>
        <v>8415.34003705288</v>
      </c>
      <c r="C9" s="1" t="n">
        <f aca="false">B9*$B$1</f>
        <v>42.0767001852644</v>
      </c>
      <c r="D9" s="1" t="n">
        <f aca="false">$B$2-C9</f>
        <v>401.129402342305</v>
      </c>
    </row>
    <row r="10" customFormat="false" ht="15" hidden="false" customHeight="false" outlineLevel="0" collapsed="false">
      <c r="A10" s="0" t="n">
        <f aca="false">A9+1</f>
        <v>6</v>
      </c>
      <c r="B10" s="1" t="n">
        <f aca="false">B9-D9</f>
        <v>8014.21063471058</v>
      </c>
      <c r="C10" s="1" t="n">
        <f aca="false">B10*$B$1</f>
        <v>40.0710531735529</v>
      </c>
      <c r="D10" s="1" t="n">
        <f aca="false">$B$2-C10</f>
        <v>403.135049354016</v>
      </c>
    </row>
    <row r="11" customFormat="false" ht="15" hidden="false" customHeight="false" outlineLevel="0" collapsed="false">
      <c r="A11" s="0" t="n">
        <f aca="false">A10+1</f>
        <v>7</v>
      </c>
      <c r="B11" s="1" t="n">
        <f aca="false">B10-D10</f>
        <v>7611.07558535656</v>
      </c>
      <c r="C11" s="1" t="n">
        <f aca="false">B11*$B$1</f>
        <v>38.0553779267828</v>
      </c>
      <c r="D11" s="1" t="n">
        <f aca="false">$B$2-C11</f>
        <v>405.150724600786</v>
      </c>
    </row>
    <row r="12" customFormat="false" ht="15" hidden="false" customHeight="false" outlineLevel="0" collapsed="false">
      <c r="A12" s="0" t="n">
        <f aca="false">A11+1</f>
        <v>8</v>
      </c>
      <c r="B12" s="1" t="n">
        <f aca="false">B11-D11</f>
        <v>7205.92486075578</v>
      </c>
      <c r="C12" s="1" t="n">
        <f aca="false">B12*$B$1</f>
        <v>36.0296243037789</v>
      </c>
      <c r="D12" s="1" t="n">
        <f aca="false">$B$2-C12</f>
        <v>407.17647822379</v>
      </c>
    </row>
    <row r="13" customFormat="false" ht="15" hidden="false" customHeight="false" outlineLevel="0" collapsed="false">
      <c r="A13" s="0" t="n">
        <f aca="false">A12+1</f>
        <v>9</v>
      </c>
      <c r="B13" s="1" t="n">
        <f aca="false">B12-D12</f>
        <v>6798.74838253199</v>
      </c>
      <c r="C13" s="1" t="n">
        <f aca="false">B13*$B$1</f>
        <v>33.9937419126599</v>
      </c>
      <c r="D13" s="1" t="n">
        <f aca="false">$B$2-C13</f>
        <v>409.212360614909</v>
      </c>
    </row>
    <row r="14" customFormat="false" ht="15" hidden="false" customHeight="false" outlineLevel="0" collapsed="false">
      <c r="A14" s="0" t="n">
        <f aca="false">A13+1</f>
        <v>10</v>
      </c>
      <c r="B14" s="1" t="n">
        <f aca="false">B13-D13</f>
        <v>6389.53602191708</v>
      </c>
      <c r="C14" s="1" t="n">
        <f aca="false">B14*$B$1</f>
        <v>31.9476801095854</v>
      </c>
      <c r="D14" s="1" t="n">
        <f aca="false">$B$2-C14</f>
        <v>411.258422417984</v>
      </c>
    </row>
    <row r="15" customFormat="false" ht="15" hidden="false" customHeight="false" outlineLevel="0" collapsed="false">
      <c r="A15" s="0" t="n">
        <f aca="false">A14+1</f>
        <v>11</v>
      </c>
      <c r="B15" s="1" t="n">
        <f aca="false">B14-D14</f>
        <v>5978.27759949909</v>
      </c>
      <c r="C15" s="1" t="n">
        <f aca="false">B15*$B$1</f>
        <v>29.8913879974955</v>
      </c>
      <c r="D15" s="1" t="n">
        <f aca="false">$B$2-C15</f>
        <v>413.314714530074</v>
      </c>
    </row>
    <row r="16" customFormat="false" ht="15" hidden="false" customHeight="false" outlineLevel="0" collapsed="false">
      <c r="A16" s="0" t="n">
        <f aca="false">A15+1</f>
        <v>12</v>
      </c>
      <c r="B16" s="1" t="n">
        <f aca="false">B15-D15</f>
        <v>5564.96288496902</v>
      </c>
      <c r="C16" s="1" t="n">
        <f aca="false">B16*$B$1</f>
        <v>27.8248144248451</v>
      </c>
      <c r="D16" s="1" t="n">
        <f aca="false">$B$2-C16</f>
        <v>415.381288102724</v>
      </c>
    </row>
    <row r="17" customFormat="false" ht="15" hidden="false" customHeight="false" outlineLevel="0" collapsed="false">
      <c r="A17" s="0" t="n">
        <f aca="false">A16+1</f>
        <v>13</v>
      </c>
      <c r="B17" s="1" t="n">
        <f aca="false">B16-D16</f>
        <v>5149.5815968663</v>
      </c>
      <c r="C17" s="1" t="n">
        <f aca="false">B17*$B$1</f>
        <v>25.7479079843315</v>
      </c>
      <c r="D17" s="1" t="n">
        <f aca="false">$B$2-C17</f>
        <v>417.458194543238</v>
      </c>
    </row>
    <row r="18" customFormat="false" ht="15" hidden="false" customHeight="false" outlineLevel="0" collapsed="false">
      <c r="A18" s="0" t="n">
        <f aca="false">A17+1</f>
        <v>14</v>
      </c>
      <c r="B18" s="1" t="n">
        <f aca="false">B17-D17</f>
        <v>4732.12340232306</v>
      </c>
      <c r="C18" s="1" t="n">
        <f aca="false">B18*$B$1</f>
        <v>23.6606170116153</v>
      </c>
      <c r="D18" s="1" t="n">
        <f aca="false">$B$2-C18</f>
        <v>419.545485515954</v>
      </c>
    </row>
    <row r="19" customFormat="false" ht="15" hidden="false" customHeight="false" outlineLevel="0" collapsed="false">
      <c r="A19" s="0" t="n">
        <f aca="false">A18+1</f>
        <v>15</v>
      </c>
      <c r="B19" s="1" t="n">
        <f aca="false">B18-D18</f>
        <v>4312.5779168071</v>
      </c>
      <c r="C19" s="1" t="n">
        <f aca="false">B19*$B$1</f>
        <v>21.5628895840355</v>
      </c>
      <c r="D19" s="1" t="n">
        <f aca="false">$B$2-C19</f>
        <v>421.643212943534</v>
      </c>
    </row>
    <row r="20" customFormat="false" ht="15" hidden="false" customHeight="false" outlineLevel="0" collapsed="false">
      <c r="A20" s="0" t="n">
        <f aca="false">A19+1</f>
        <v>16</v>
      </c>
      <c r="B20" s="1" t="n">
        <f aca="false">B19-D19</f>
        <v>3890.93470386357</v>
      </c>
      <c r="C20" s="1" t="n">
        <f aca="false">B20*$B$1</f>
        <v>19.4546735193178</v>
      </c>
      <c r="D20" s="1" t="n">
        <f aca="false">$B$2-C20</f>
        <v>423.751429008251</v>
      </c>
    </row>
    <row r="21" customFormat="false" ht="15" hidden="false" customHeight="false" outlineLevel="0" collapsed="false">
      <c r="A21" s="0" t="n">
        <f aca="false">A20+1</f>
        <v>17</v>
      </c>
      <c r="B21" s="1" t="n">
        <f aca="false">B20-D20</f>
        <v>3467.18327485532</v>
      </c>
      <c r="C21" s="1" t="n">
        <f aca="false">B21*$B$1</f>
        <v>17.3359163742766</v>
      </c>
      <c r="D21" s="1" t="n">
        <f aca="false">$B$2-C21</f>
        <v>425.870186153293</v>
      </c>
    </row>
    <row r="22" customFormat="false" ht="15" hidden="false" customHeight="false" outlineLevel="0" collapsed="false">
      <c r="A22" s="0" t="n">
        <f aca="false">A21+1</f>
        <v>18</v>
      </c>
      <c r="B22" s="1" t="n">
        <f aca="false">B21-D21</f>
        <v>3041.31308870203</v>
      </c>
      <c r="C22" s="1" t="n">
        <f aca="false">B22*$B$1</f>
        <v>15.2065654435101</v>
      </c>
      <c r="D22" s="1" t="n">
        <f aca="false">$B$2-C22</f>
        <v>427.999537084059</v>
      </c>
    </row>
    <row r="23" customFormat="false" ht="15" hidden="false" customHeight="false" outlineLevel="0" collapsed="false">
      <c r="A23" s="0" t="n">
        <f aca="false">A22+1</f>
        <v>19</v>
      </c>
      <c r="B23" s="1" t="n">
        <f aca="false">B22-D22</f>
        <v>2613.31355161797</v>
      </c>
      <c r="C23" s="1" t="n">
        <f aca="false">B23*$B$1</f>
        <v>13.0665677580898</v>
      </c>
      <c r="D23" s="1" t="n">
        <f aca="false">$B$2-C23</f>
        <v>430.139534769479</v>
      </c>
    </row>
    <row r="24" customFormat="false" ht="15" hidden="false" customHeight="false" outlineLevel="0" collapsed="false">
      <c r="A24" s="0" t="n">
        <f aca="false">A23+1</f>
        <v>20</v>
      </c>
      <c r="B24" s="1" t="n">
        <f aca="false">B23-D23</f>
        <v>2183.17401684849</v>
      </c>
      <c r="C24" s="1" t="n">
        <f aca="false">B24*$B$1</f>
        <v>10.9158700842424</v>
      </c>
      <c r="D24" s="1" t="n">
        <f aca="false">$B$2-C24</f>
        <v>432.290232443327</v>
      </c>
    </row>
    <row r="25" customFormat="false" ht="15" hidden="false" customHeight="false" outlineLevel="0" collapsed="false">
      <c r="A25" s="0" t="n">
        <f aca="false">A24+1</f>
        <v>21</v>
      </c>
      <c r="B25" s="1" t="n">
        <f aca="false">B24-D24</f>
        <v>1750.88378440516</v>
      </c>
      <c r="C25" s="1" t="n">
        <f aca="false">B25*$B$1</f>
        <v>8.75441892202581</v>
      </c>
      <c r="D25" s="1" t="n">
        <f aca="false">$B$2-C25</f>
        <v>434.451683605543</v>
      </c>
    </row>
    <row r="26" customFormat="false" ht="15" hidden="false" customHeight="false" outlineLevel="0" collapsed="false">
      <c r="A26" s="0" t="n">
        <f aca="false">A25+1</f>
        <v>22</v>
      </c>
      <c r="B26" s="1" t="n">
        <f aca="false">B25-D25</f>
        <v>1316.43210079962</v>
      </c>
      <c r="C26" s="1" t="n">
        <f aca="false">B26*$B$1</f>
        <v>6.58216050399809</v>
      </c>
      <c r="D26" s="1" t="n">
        <f aca="false">$B$2-C26</f>
        <v>436.623942023571</v>
      </c>
    </row>
    <row r="27" customFormat="false" ht="15" hidden="false" customHeight="false" outlineLevel="0" collapsed="false">
      <c r="A27" s="0" t="n">
        <f aca="false">A26+1</f>
        <v>23</v>
      </c>
      <c r="B27" s="1" t="n">
        <f aca="false">B26-D26</f>
        <v>879.808158776047</v>
      </c>
      <c r="C27" s="1" t="n">
        <f aca="false">B27*$B$1</f>
        <v>4.39904079388024</v>
      </c>
      <c r="D27" s="1" t="n">
        <f aca="false">$B$2-C27</f>
        <v>438.807061733689</v>
      </c>
    </row>
    <row r="28" customFormat="false" ht="15" hidden="false" customHeight="false" outlineLevel="0" collapsed="false">
      <c r="A28" s="0" t="n">
        <f aca="false">A27+1</f>
        <v>24</v>
      </c>
      <c r="B28" s="1" t="n">
        <f aca="false">B27-D27</f>
        <v>441.001097042358</v>
      </c>
      <c r="C28" s="1" t="n">
        <f aca="false">B28*$B$1</f>
        <v>2.20500548521179</v>
      </c>
      <c r="D28" s="1" t="n">
        <f aca="false">$B$2-C28</f>
        <v>441.001097042357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