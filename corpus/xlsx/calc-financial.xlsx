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3">
    <numFmt numFmtId="164" formatCode="General"/>
    <numFmt numFmtId="165" formatCode="[$$-409]#,##0.00;[RED]\-[$$-409]#,##0.00"/>
    <numFmt numFmtId="166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v>-70000</v>
      </c>
      <c r="C1" s="1" t="n">
        <f aca="false">PMT(0.08/12,10,10000)</f>
        <v>-1037.03208935915</v>
      </c>
    </row>
    <row r="2" customFormat="false" ht="15" hidden="false" customHeight="false" outlineLevel="0" collapsed="false">
      <c r="A2" s="0" t="n">
        <v>12000</v>
      </c>
      <c r="C2" s="1" t="n">
        <f aca="false">PMT(0,10,10000)</f>
        <v>-1000</v>
      </c>
    </row>
    <row r="3" customFormat="false" ht="15" hidden="false" customHeight="false" outlineLevel="0" collapsed="false">
      <c r="A3" s="0" t="n">
        <v>15000</v>
      </c>
      <c r="C3" s="1" t="n">
        <f aca="false">FV(0.06/12,10,-200,-500,1)</f>
        <v>2581.40337406014</v>
      </c>
    </row>
    <row r="4" customFormat="false" ht="15" hidden="false" customHeight="false" outlineLevel="0" collapsed="false">
      <c r="A4" s="0" t="n">
        <v>18000</v>
      </c>
      <c r="C4" s="1" t="n">
        <f aca="false">FV(0.06/12,10,-200)</f>
        <v>2045.60528163158</v>
      </c>
    </row>
    <row r="5" customFormat="false" ht="15" hidden="false" customHeight="false" outlineLevel="0" collapsed="false">
      <c r="A5" s="0" t="n">
        <v>21000</v>
      </c>
      <c r="C5" s="1" t="n">
        <f aca="false">PV(0.08/12,240,500)</f>
        <v>-59777.1458511878</v>
      </c>
    </row>
    <row r="6" customFormat="false" ht="15" hidden="false" customHeight="false" outlineLevel="0" collapsed="false">
      <c r="A6" s="0" t="n">
        <v>26000</v>
      </c>
      <c r="C6" s="0" t="n">
        <f aca="false">NPER(0.12/12,-100,-1000,10000,1)</f>
        <v>59.6738656742946</v>
      </c>
    </row>
    <row r="7" customFormat="false" ht="15" hidden="false" customHeight="false" outlineLevel="0" collapsed="false">
      <c r="C7" s="1" t="n">
        <f aca="false">NPV(0.1,-10000,3000,4200,6800)</f>
        <v>1188.44341233522</v>
      </c>
    </row>
    <row r="8" customFormat="false" ht="15" hidden="false" customHeight="false" outlineLevel="0" collapsed="false">
      <c r="C8" s="1" t="n">
        <f aca="false">NPV(0.08,A2:A6)</f>
        <v>71390.963785604</v>
      </c>
    </row>
    <row r="9" customFormat="false" ht="15" hidden="false" customHeight="false" outlineLevel="0" collapsed="false">
      <c r="C9" s="2" t="n">
        <f aca="false">IRR(A1:A6)</f>
        <v>0.0866309480365316</v>
      </c>
    </row>
    <row r="10" customFormat="false" ht="15" hidden="false" customHeight="false" outlineLevel="0" collapsed="false">
      <c r="C10" s="2" t="n">
        <f aca="false">RATE(48,-200,8000)</f>
        <v>0.00770147248823279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2026-07-11T08:27:32Z</dcterms:created>
  <dc:creator>openpyxl</dc:creator>
  <dc:description/>
  <dc:language>en-US</dc:language>
  <cp:lastModifiedBy/>
  <dcterms:modified xsi:type="dcterms:W3CDTF">2026-07-11T08:27:32Z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