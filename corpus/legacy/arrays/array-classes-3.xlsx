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source\workbench\docxy-issue-874\corpus\legacy\arrays\"/>
    </mc:Choice>
  </mc:AlternateContent>
  <xr:revisionPtr revIDLastSave="0" documentId="8_{E3E8A6DB-6F59-4074-8482-440E7D3DC1A0}" xr6:coauthVersionLast="47" xr6:coauthVersionMax="47" xr10:uidLastSave="{00000000-0000-0000-0000-000000000000}"/>
  <bookViews>
    <workbookView xWindow="2340" yWindow="2340" windowWidth="21600" windowHeight="11295" activeTab="2" xr2:uid="{BAACE8AE-5071-497F-ACE6-4DA53A49D2B6}"/>
  </bookViews>
  <sheets>
    <sheet name="Cell" sheetId="1" r:id="rId1"/>
    <sheet name="Arr" sheetId="2" r:id="rId2"/>
    <sheet name="Dy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1" i="3" l="1"/>
  <c r="F28" i="2" a="1"/>
  <c r="F28" i="2" s="1"/>
  <c r="F28" i="1"/>
  <c r="AF1" i="3"/>
  <c r="F27" i="2" a="1"/>
  <c r="F27" i="2" s="1"/>
  <c r="F27" i="1"/>
  <c r="AE1" i="3"/>
  <c r="F26" i="2" a="1"/>
  <c r="F26" i="2" s="1"/>
  <c r="F26" i="1"/>
  <c r="AD1" i="3" a="1"/>
  <c r="AD1" i="3" s="1"/>
  <c r="F25" i="2" a="1"/>
  <c r="F25" i="2" s="1"/>
  <c r="F25" i="1"/>
  <c r="AC1" i="3" a="1"/>
  <c r="AC1" i="3" s="1"/>
  <c r="F24" i="2" a="1"/>
  <c r="F24" i="2" s="1"/>
  <c r="F24" i="1"/>
  <c r="AB1" i="3" a="1"/>
  <c r="AB1" i="3" s="1"/>
  <c r="F23" i="2" a="1"/>
  <c r="F23" i="2" s="1"/>
  <c r="F23" i="1"/>
  <c r="AA1" i="3"/>
  <c r="F22" i="2" a="1"/>
  <c r="F22" i="2" s="1"/>
  <c r="F22" i="1"/>
  <c r="Z1" i="3"/>
  <c r="F21" i="2" a="1"/>
  <c r="F21" i="2" s="1"/>
  <c r="F21" i="1"/>
  <c r="Y1" i="3"/>
  <c r="F20" i="2" a="1"/>
  <c r="F20" i="2" s="1"/>
  <c r="F20" i="1"/>
  <c r="X1" i="3"/>
  <c r="F19" i="2" a="1"/>
  <c r="F19" i="2" s="1"/>
  <c r="F19" i="1"/>
  <c r="W1" i="3"/>
  <c r="F18" i="2" a="1"/>
  <c r="F18" i="2" s="1"/>
  <c r="F18" i="1"/>
  <c r="V1" i="3" a="1"/>
  <c r="V1" i="3" s="1"/>
  <c r="F17" i="2" a="1"/>
  <c r="F17" i="2" s="1"/>
  <c r="F17" i="1"/>
  <c r="U1" i="3" a="1"/>
  <c r="U1" i="3" s="1"/>
  <c r="F16" i="2" a="1"/>
  <c r="F16" i="2" s="1"/>
  <c r="F16" i="1"/>
  <c r="T1" i="3"/>
  <c r="F15" i="2" a="1"/>
  <c r="F15" i="2" s="1"/>
  <c r="F15" i="1"/>
  <c r="S1" i="3"/>
  <c r="F14" i="2" a="1"/>
  <c r="F14" i="2" s="1"/>
  <c r="F14" i="1"/>
  <c r="R1" i="3"/>
  <c r="F13" i="2" a="1"/>
  <c r="F13" i="2" s="1"/>
  <c r="F13" i="1"/>
  <c r="Q1" i="3"/>
  <c r="F12" i="2" a="1"/>
  <c r="F12" i="2" s="1"/>
  <c r="F12" i="1"/>
  <c r="P1" i="3"/>
  <c r="F11" i="2" a="1"/>
  <c r="F11" i="2" s="1"/>
  <c r="F11" i="1"/>
  <c r="O1" i="3" a="1"/>
  <c r="O1" i="3" s="1"/>
  <c r="F10" i="2" a="1"/>
  <c r="F10" i="2" s="1"/>
  <c r="F10" i="1"/>
  <c r="N1" i="3"/>
  <c r="F9" i="2" a="1"/>
  <c r="F9" i="2" s="1"/>
  <c r="F9" i="1"/>
  <c r="M1" i="3"/>
  <c r="F8" i="2" a="1"/>
  <c r="F8" i="2" s="1"/>
  <c r="F8" i="1"/>
  <c r="L1" i="3"/>
  <c r="F7" i="2" a="1"/>
  <c r="F7" i="2" s="1"/>
  <c r="F7" i="1"/>
  <c r="K1" i="3"/>
  <c r="F6" i="2" a="1"/>
  <c r="F6" i="2" s="1"/>
  <c r="F6" i="1"/>
  <c r="J1" i="3"/>
  <c r="F5" i="2" a="1"/>
  <c r="F5" i="2" s="1"/>
  <c r="F5" i="1"/>
  <c r="I1" i="3"/>
  <c r="F4" i="2" a="1"/>
  <c r="F4" i="2" s="1"/>
  <c r="F4" i="1"/>
  <c r="H1" i="3"/>
  <c r="F3" i="2" a="1"/>
  <c r="F3" i="2" s="1"/>
  <c r="F3" i="1"/>
  <c r="G1" i="3"/>
  <c r="F2" i="2" a="1"/>
  <c r="F2" i="2" s="1"/>
  <c r="F2" i="1"/>
  <c r="F1" i="3"/>
  <c r="F1" i="2" a="1"/>
  <c r="F1" i="2" s="1"/>
  <c r="F1" i="1"/>
  <c r="AJ1" i="3" a="1"/>
  <c r="F31" i="2" a="1"/>
  <c r="F31" i="1"/>
  <c r="AI1" i="3"/>
  <c r="F30" i="2" a="1"/>
  <c r="F30" i="1"/>
  <c r="AH1" i="3" a="1"/>
  <c r="F29" i="2" a="1"/>
  <c r="F29" i="1"/>
  <c r="AJ1" i="3" l="1"/>
  <c r="F31" i="2"/>
  <c r="F30" i="2"/>
  <c r="AH1" i="3"/>
  <c r="F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<sst xmlns="http://schemas.openxmlformats.org/spreadsheetml/2006/main" count="9" uniqueCount="2">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</sst>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CA0E-E69B-49D8-B39D-4861FFB8E86F}">
  <dimension ref="A1:F31"/>
  <sheetViews>
    <sheetView workbookViewId="0"/>
  </sheetViews>
  <sheetFormatPr defaultRowHeight="15" x14ac:dyDescent="0.25"/>
  <sheetData>
    <row r="1" spans="1:6" x14ac:dyDescent="0.25">
      <c r="A1">
        <v>1</v>
      </c>
      <c r="B1">
        <v>10</v>
      </c>
      <c r="C1" t="s">
        <v>0</v>
      </c>
      <c r="D1">
        <v>1</v>
      </c>
      <c r="F1">
        <f>_xlfn.PERCENTILE.INC(A1:A3,0.5)</f>
        <v>2</v>
      </c>
    </row>
    <row r="2" spans="1:6" x14ac:dyDescent="0.25">
      <c r="A2">
        <v>2</v>
      </c>
      <c r="B2">
        <v>20</v>
      </c>
      <c r="C2" t="s">
        <v>1</v>
      </c>
      <c r="D2">
        <v>2</v>
      </c>
      <c r="F2">
        <f>_xlfn.PERCENTILE.EXC(A1:A3,0.5)</f>
        <v>2</v>
      </c>
    </row>
    <row r="3" spans="1:6" x14ac:dyDescent="0.25">
      <c r="A3">
        <v>3</v>
      </c>
      <c r="B3">
        <v>30</v>
      </c>
      <c r="C3" t="s">
        <v>0</v>
      </c>
      <c r="F3">
        <f>_xlfn.QUARTILE.INC(A1:A3,1)</f>
        <v>1.5</v>
      </c>
    </row>
    <row r="4" spans="1:6" x14ac:dyDescent="0.25">
      <c r="F4">
        <f>_xlfn.QUARTILE.EXC(A1:A3,1)</f>
        <v>1</v>
      </c>
    </row>
    <row r="5" spans="1:6" x14ac:dyDescent="0.25">
      <c r="F5">
        <f>_xlfn.PERCENTRANK.INC(A1:A3,2)</f>
        <v>0.5</v>
      </c>
    </row>
    <row r="6" spans="1:6" x14ac:dyDescent="0.25">
      <c r="F6">
        <f>_xlfn.PERCENTRANK.EXC(A1:A3,2)</f>
        <v>0.5</v>
      </c>
    </row>
    <row r="7" spans="1:6" x14ac:dyDescent="0.25">
      <c r="F7">
        <f>_xlfn.RANK.EQ(2,A1:A3)</f>
        <v>2</v>
      </c>
    </row>
    <row r="8" spans="1:6" x14ac:dyDescent="0.25">
      <c r="F8">
        <f>_xlfn.XLOOKUP(2,A1:A3,B1:B3)</f>
        <v>20</v>
      </c>
    </row>
    <row r="9" spans="1:6" x14ac:dyDescent="0.25">
      <c r="F9">
        <f>_xlfn.XMATCH(2,A1:A3)</f>
        <v>2</v>
      </c>
    </row>
    <row r="10" spans="1:6" x14ac:dyDescent="0.25">
      <c r="F10">
        <f>ROWS(_xlfn._xlws.FILTER(A1:A3,A1:A3&gt;1))</f>
        <v>2</v>
      </c>
    </row>
    <row r="11" spans="1:6" x14ac:dyDescent="0.25">
      <c r="F11">
        <f>SUM(_xlfn.UNIQUE(A1:A3))</f>
        <v>6</v>
      </c>
    </row>
    <row r="12" spans="1:6" x14ac:dyDescent="0.25">
      <c r="F12">
        <f>SUM(_xlfn._xlws.SORT(A1:A3))</f>
        <v>6</v>
      </c>
    </row>
    <row r="13" spans="1:6" x14ac:dyDescent="0.25">
      <c r="F13">
        <f>SUM(_xlfn.SORTBY(A1:A3,B1:B3))</f>
        <v>6</v>
      </c>
    </row>
    <row r="14" spans="1:6" x14ac:dyDescent="0.25">
      <c r="F14" t="str">
        <f>_xlfn.TEXTJOIN(",",TRUE,C1:C3)</f>
        <v>x,y,x</v>
      </c>
    </row>
    <row r="15" spans="1:6" x14ac:dyDescent="0.25">
      <c r="F15" t="str">
        <f>_xlfn.CONCAT(C1:C3)</f>
        <v>xyx</v>
      </c>
    </row>
    <row r="16" spans="1:6" x14ac:dyDescent="0.25">
      <c r="F16" t="e">
        <f>SUM(_xlfn.IFS(A1:A3&gt;1,B1:B3,TRUE,0))</f>
        <v>#VALUE!</v>
      </c>
    </row>
    <row r="17" spans="6:6" x14ac:dyDescent="0.25">
      <c r="F17">
        <f>_xlfn.SWITCH(A1,1,B1,2,B2)</f>
        <v>10</v>
      </c>
    </row>
    <row r="18" spans="6:6" x14ac:dyDescent="0.25">
      <c r="F18">
        <f>_xlfn.STDEV.S(A1:A3)</f>
        <v>1</v>
      </c>
    </row>
    <row r="19" spans="6:6" x14ac:dyDescent="0.25">
      <c r="F19">
        <f>_xlfn.NORM.DIST(A1,2,1,TRUE)</f>
        <v>0.15865525393145699</v>
      </c>
    </row>
    <row r="20" spans="6:6" x14ac:dyDescent="0.25">
      <c r="F20">
        <f>_xlfn.MAXIFS(B1:B3,A1:A3,"&gt;1")</f>
        <v>30</v>
      </c>
    </row>
    <row r="21" spans="6:6" x14ac:dyDescent="0.25">
      <c r="F21">
        <f>_xlfn.FORECAST.LINEAR(4,B1:B3,A1:A3)</f>
        <v>40</v>
      </c>
    </row>
    <row r="22" spans="6:6" x14ac:dyDescent="0.25">
      <c r="F22">
        <f>_xlfn.AGGREGATE(9,6,A1:A3)</f>
        <v>6</v>
      </c>
    </row>
    <row r="23" spans="6:6" x14ac:dyDescent="0.25">
      <c r="F23" t="e">
        <f>SUM(_xlfn.PERCENTILE.INC(A1:A3*2,{0.5,1}))</f>
        <v>#VALUE!</v>
      </c>
    </row>
    <row r="24" spans="6:6" x14ac:dyDescent="0.25">
      <c r="F24" t="e">
        <f>SUM(_xlfn.XLOOKUP(A1:A3,A1:A3,B1:B3))</f>
        <v>#VALUE!</v>
      </c>
    </row>
    <row r="25" spans="6:6" x14ac:dyDescent="0.25">
      <c r="F25">
        <f>SUM(IFERROR(A1:A3/0,1))</f>
        <v>1</v>
      </c>
    </row>
    <row r="26" spans="6:6" x14ac:dyDescent="0.25">
      <c r="F26" t="e">
        <f>SUM(EDATE(A1:A3,1))</f>
        <v>#VALUE!</v>
      </c>
    </row>
    <row r="27" spans="6:6" x14ac:dyDescent="0.25">
      <c r="F27" t="e">
        <f>SUMPRODUCT(WEEKNUM(A1:A3))</f>
        <v>#VALUE!</v>
      </c>
    </row>
    <row r="28" spans="6:6" x14ac:dyDescent="0.25">
      <c r="F28">
        <f>EDATE(A1,1)</f>
        <v>32</v>
      </c>
    </row>
    <row r="29" spans="6:6" x14ac:dyDescent="0.25">
      <c r="F29">
        <f>_xll.XLLTWICE(A1)</f>
        <v>2</v>
      </c>
    </row>
    <row r="30" spans="6:6" x14ac:dyDescent="0.25">
      <c r="F30" t="e">
        <f>SUMPRODUCT(_xll.XLLTWICE(A1:A3))</f>
        <v>#VALUE!</v>
      </c>
    </row>
    <row r="31" spans="6:6" x14ac:dyDescent="0.25">
      <c r="F31" t="e">
        <f>SUM(_xll.XLLTWICE(A1:A3*2))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FCC6-1793-4FFC-8C2A-3AEFEFD7720A}">
  <dimension ref="A1:F31"/>
  <sheetViews>
    <sheetView workbookViewId="0"/>
  </sheetViews>
  <sheetFormatPr defaultRowHeight="15" x14ac:dyDescent="0.25"/>
  <sheetData>
    <row r="1" spans="1:6" x14ac:dyDescent="0.25">
      <c r="A1">
        <v>1</v>
      </c>
      <c r="B1">
        <v>10</v>
      </c>
      <c r="C1" t="s">
        <v>0</v>
      </c>
      <c r="D1">
        <v>1</v>
      </c>
      <c r="F1">
        <f t="array" ref="F1">_xlfn.PERCENTILE.INC(A1:A3,0.5)</f>
        <v>2</v>
      </c>
    </row>
    <row r="2" spans="1:6" x14ac:dyDescent="0.25">
      <c r="A2">
        <v>2</v>
      </c>
      <c r="B2">
        <v>20</v>
      </c>
      <c r="C2" t="s">
        <v>1</v>
      </c>
      <c r="D2">
        <v>2</v>
      </c>
      <c r="F2">
        <f t="array" ref="F2">_xlfn.PERCENTILE.EXC(A1:A3,0.5)</f>
        <v>2</v>
      </c>
    </row>
    <row r="3" spans="1:6" x14ac:dyDescent="0.25">
      <c r="A3">
        <v>3</v>
      </c>
      <c r="B3">
        <v>30</v>
      </c>
      <c r="C3" t="s">
        <v>0</v>
      </c>
      <c r="F3">
        <f t="array" ref="F3">_xlfn.QUARTILE.INC(A1:A3,1)</f>
        <v>1.5</v>
      </c>
    </row>
    <row r="4" spans="1:6" x14ac:dyDescent="0.25">
      <c r="F4">
        <f t="array" ref="F4">_xlfn.QUARTILE.EXC(A1:A3,1)</f>
        <v>1</v>
      </c>
    </row>
    <row r="5" spans="1:6" x14ac:dyDescent="0.25">
      <c r="F5">
        <f t="array" ref="F5">_xlfn.PERCENTRANK.INC(A1:A3,2)</f>
        <v>0.5</v>
      </c>
    </row>
    <row r="6" spans="1:6" x14ac:dyDescent="0.25">
      <c r="F6">
        <f t="array" ref="F6">_xlfn.PERCENTRANK.EXC(A1:A3,2)</f>
        <v>0.5</v>
      </c>
    </row>
    <row r="7" spans="1:6" x14ac:dyDescent="0.25">
      <c r="F7">
        <f t="array" ref="F7">_xlfn.RANK.EQ(2,A1:A3)</f>
        <v>2</v>
      </c>
    </row>
    <row r="8" spans="1:6" x14ac:dyDescent="0.25">
      <c r="F8">
        <f t="array" ref="F8">_xlfn.XLOOKUP(2,A1:A3,B1:B3)</f>
        <v>20</v>
      </c>
    </row>
    <row r="9" spans="1:6" x14ac:dyDescent="0.25">
      <c r="F9">
        <f t="array" ref="F9">_xlfn.XMATCH(2,A1:A3)</f>
        <v>2</v>
      </c>
    </row>
    <row r="10" spans="1:6" x14ac:dyDescent="0.25">
      <c r="F10">
        <f t="array" ref="F10">ROWS(_xlfn._xlws.FILTER(A1:A3,A1:A3&gt;1))</f>
        <v>2</v>
      </c>
    </row>
    <row r="11" spans="1:6" x14ac:dyDescent="0.25">
      <c r="F11">
        <f t="array" ref="F11">SUM(_xlfn.UNIQUE(A1:A3))</f>
        <v>6</v>
      </c>
    </row>
    <row r="12" spans="1:6" x14ac:dyDescent="0.25">
      <c r="F12">
        <f t="array" ref="F12">SUM(_xlfn._xlws.SORT(A1:A3))</f>
        <v>6</v>
      </c>
    </row>
    <row r="13" spans="1:6" x14ac:dyDescent="0.25">
      <c r="F13">
        <f t="array" ref="F13">SUM(_xlfn.SORTBY(A1:A3,B1:B3))</f>
        <v>6</v>
      </c>
    </row>
    <row r="14" spans="1:6" x14ac:dyDescent="0.25">
      <c r="F14" t="str">
        <f t="array" ref="F14">_xlfn.TEXTJOIN(",",TRUE,C1:C3)</f>
        <v>x,y,x</v>
      </c>
    </row>
    <row r="15" spans="1:6" x14ac:dyDescent="0.25">
      <c r="F15" t="str">
        <f t="array" ref="F15">_xlfn.CONCAT(C1:C3)</f>
        <v>xyx</v>
      </c>
    </row>
    <row r="16" spans="1:6" x14ac:dyDescent="0.25">
      <c r="F16">
        <f t="array" ref="F16">SUM(_xlfn.IFS(A1:A3&gt;1,B1:B3,TRUE,0))</f>
        <v>50</v>
      </c>
    </row>
    <row r="17" spans="6:6" x14ac:dyDescent="0.25">
      <c r="F17">
        <f t="array" ref="F17">_xlfn.SWITCH(A1,1,B1,2,B2)</f>
        <v>10</v>
      </c>
    </row>
    <row r="18" spans="6:6" x14ac:dyDescent="0.25">
      <c r="F18">
        <f t="array" ref="F18">_xlfn.STDEV.S(A1:A3)</f>
        <v>1</v>
      </c>
    </row>
    <row r="19" spans="6:6" x14ac:dyDescent="0.25">
      <c r="F19">
        <f t="array" ref="F19">_xlfn.NORM.DIST(A1,2,1,TRUE)</f>
        <v>0.15865525393145699</v>
      </c>
    </row>
    <row r="20" spans="6:6" x14ac:dyDescent="0.25">
      <c r="F20">
        <f t="array" ref="F20">_xlfn.MAXIFS(B1:B3,A1:A3,"&gt;1")</f>
        <v>30</v>
      </c>
    </row>
    <row r="21" spans="6:6" x14ac:dyDescent="0.25">
      <c r="F21">
        <f t="array" ref="F21">_xlfn.FORECAST.LINEAR(4,B1:B3,A1:A3)</f>
        <v>40</v>
      </c>
    </row>
    <row r="22" spans="6:6" x14ac:dyDescent="0.25">
      <c r="F22">
        <f t="array" ref="F22">_xlfn.AGGREGATE(9,6,A1:A3)</f>
        <v>6</v>
      </c>
    </row>
    <row r="23" spans="6:6" x14ac:dyDescent="0.25">
      <c r="F23">
        <f t="array" ref="F23">SUM(_xlfn.PERCENTILE.INC(A1:A3*2,{0.5,1}))</f>
        <v>10</v>
      </c>
    </row>
    <row r="24" spans="6:6" x14ac:dyDescent="0.25">
      <c r="F24">
        <f t="array" ref="F24">SUM(_xlfn.XLOOKUP(A1:A3,A1:A3,B1:B3))</f>
        <v>10</v>
      </c>
    </row>
    <row r="25" spans="6:6" x14ac:dyDescent="0.25">
      <c r="F25">
        <f t="array" ref="F25">SUM(IFERROR(A1:A3/0,1))</f>
        <v>3</v>
      </c>
    </row>
    <row r="26" spans="6:6" x14ac:dyDescent="0.25">
      <c r="F26" t="e">
        <f t="array" ref="F26">SUM(EDATE(A1:A3,1))</f>
        <v>#VALUE!</v>
      </c>
    </row>
    <row r="27" spans="6:6" x14ac:dyDescent="0.25">
      <c r="F27" t="e">
        <f t="array" ref="F27">SUMPRODUCT(WEEKNUM(A1:A3))</f>
        <v>#VALUE!</v>
      </c>
    </row>
    <row r="28" spans="6:6" x14ac:dyDescent="0.25">
      <c r="F28">
        <f t="array" ref="F28">EDATE(A1,1)</f>
        <v>32</v>
      </c>
    </row>
    <row r="29" spans="6:6" x14ac:dyDescent="0.25">
      <c r="F29">
        <f t="array" ref="F29">_xll.XLLTWICE(A1)</f>
        <v>2</v>
      </c>
    </row>
    <row r="30" spans="6:6" x14ac:dyDescent="0.25">
      <c r="F30">
        <f t="array" ref="F30">SUMPRODUCT(_xll.XLLTWICE(A1:A3))</f>
        <v>2</v>
      </c>
    </row>
    <row r="31" spans="6:6" x14ac:dyDescent="0.25">
      <c r="F31">
        <f t="array" ref="F31">SUM(_xll.XLLTWICE(A1:A3*2))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3E4C-80BB-4F21-A44B-9996CD19B355}">
  <dimension ref="A1:AJ3"/>
  <sheetViews>
    <sheetView tabSelected="1" workbookViewId="0"/>
  </sheetViews>
  <sheetFormatPr defaultRowHeight="15" x14ac:dyDescent="0.25"/>
  <sheetData>
    <row r="1" spans="1:36" x14ac:dyDescent="0.25">
      <c r="A1">
        <v>1</v>
      </c>
      <c r="B1">
        <v>10</v>
      </c>
      <c r="C1" t="s">
        <v>0</v>
      </c>
      <c r="D1">
        <v>1</v>
      </c>
      <c r="F1">
        <f>_xlfn.PERCENTILE.INC(A1:A3,0.5)</f>
        <v>2</v>
      </c>
      <c r="G1">
        <f>_xlfn.PERCENTILE.EXC(A1:A3,0.5)</f>
        <v>2</v>
      </c>
      <c r="H1">
        <f>_xlfn.QUARTILE.INC(A1:A3,1)</f>
        <v>1.5</v>
      </c>
      <c r="I1">
        <f>_xlfn.QUARTILE.EXC(A1:A3,1)</f>
        <v>1</v>
      </c>
      <c r="J1">
        <f>_xlfn.PERCENTRANK.INC(A1:A3,2)</f>
        <v>0.5</v>
      </c>
      <c r="K1">
        <f>_xlfn.PERCENTRANK.EXC(A1:A3,2)</f>
        <v>0.5</v>
      </c>
      <c r="L1">
        <f>_xlfn.RANK.EQ(2,A1:A3)</f>
        <v>2</v>
      </c>
      <c r="M1">
        <f>_xlfn.XLOOKUP(2,A1:A3,B1:B3)</f>
        <v>20</v>
      </c>
      <c r="N1">
        <f>_xlfn.XMATCH(2,A1:A3)</f>
        <v>2</v>
      </c>
      <c r="O1" cm="1">
        <f t="array" ref="O1">ROWS(_xlfn._xlws.FILTER(A1:A3,A1:A3&gt;1))</f>
        <v>2</v>
      </c>
      <c r="P1">
        <f>SUM(_xlfn.UNIQUE(A1:A3))</f>
        <v>6</v>
      </c>
      <c r="Q1">
        <f>SUM(_xlfn._xlws.SORT(A1:A3))</f>
        <v>6</v>
      </c>
      <c r="R1">
        <f>SUM(_xlfn.SORTBY(A1:A3,B1:B3))</f>
        <v>6</v>
      </c>
      <c r="S1" t="str">
        <f>_xlfn.TEXTJOIN(",",TRUE,C1:C3)</f>
        <v>x,y,x</v>
      </c>
      <c r="T1" t="str">
        <f>_xlfn.CONCAT(C1:C3)</f>
        <v>xyx</v>
      </c>
      <c r="U1" cm="1">
        <f t="array" ref="U1">SUM(_xlfn.IFS(A1:A3&gt;1,B1:B3,TRUE,0))</f>
        <v>50</v>
      </c>
      <c r="V1" cm="1">
        <f t="array" ref="V1">_xlfn.SWITCH(A1,1,B1,2,B2)</f>
        <v>10</v>
      </c>
      <c r="W1">
        <f>_xlfn.STDEV.S(A1:A3)</f>
        <v>1</v>
      </c>
      <c r="X1">
        <f>_xlfn.NORM.DIST(A1,2,1,TRUE)</f>
        <v>0.15865525393145699</v>
      </c>
      <c r="Y1">
        <f>_xlfn.MAXIFS(B1:B3,A1:A3,"&gt;1")</f>
        <v>30</v>
      </c>
      <c r="Z1">
        <f>_xlfn.FORECAST.LINEAR(4,B1:B3,A1:A3)</f>
        <v>40</v>
      </c>
      <c r="AA1">
        <f>_xlfn.AGGREGATE(9,6,A1:A3)</f>
        <v>6</v>
      </c>
      <c r="AB1" cm="1">
        <f t="array" ref="AB1">SUM(_xlfn.PERCENTILE.INC(A1:A3*2,{0.5,1}))</f>
        <v>10</v>
      </c>
      <c r="AC1" cm="1">
        <f t="array" ref="AC1">SUM(_xlfn.XLOOKUP(A1:A3,A1:A3,B1:B3))</f>
        <v>60</v>
      </c>
      <c r="AD1" cm="1">
        <f t="array" ref="AD1">SUM(IFERROR(A1:A3/0,1))</f>
        <v>3</v>
      </c>
      <c r="AE1" t="e">
        <f>SUM(EDATE(A1:A3,1))</f>
        <v>#VALUE!</v>
      </c>
      <c r="AF1" t="e">
        <f>SUMPRODUCT(WEEKNUM(A1:A3))</f>
        <v>#VALUE!</v>
      </c>
      <c r="AG1">
        <f>EDATE(A1,1)</f>
        <v>32</v>
      </c>
      <c r="AH1" cm="1">
        <f t="array" ref="AH1">_xll.XLLTWICE(A1)</f>
        <v>2</v>
      </c>
      <c r="AI1">
        <f>SUMPRODUCT(_xll.XLLTWICE(A1:A3))</f>
        <v>2</v>
      </c>
      <c r="AJ1" cm="1">
        <f t="array" ref="AJ1">SUM(_xll.XLLTWICE(A1:A3*2))</f>
        <v>4</v>
      </c>
    </row>
    <row r="2" spans="1:36" x14ac:dyDescent="0.25">
      <c r="A2">
        <v>2</v>
      </c>
      <c r="B2">
        <v>20</v>
      </c>
      <c r="C2" t="s">
        <v>1</v>
      </c>
      <c r="D2">
        <v>2</v>
      </c>
    </row>
    <row r="3" spans="1:36" x14ac:dyDescent="0.25">
      <c r="A3">
        <v>3</v>
      </c>
      <c r="B3">
        <v>30</v>
      </c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</vt:lpstr>
      <vt:lpstr>Arr</vt:lpstr>
      <vt:lpstr>Dyn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Kudriashov</dc:creator>
  <cp:lastModifiedBy>Boris Kudriashov</cp:lastModifiedBy>
  <dcterms:created xsi:type="dcterms:W3CDTF">2026-10-14T05:53:02Z</dcterms:created>
  <dcterms:modified xsi:type="dcterms:W3CDTF">2026-10-14T05:53:02Z</dcterms:modified>
</cp:coreProperties>
</file>