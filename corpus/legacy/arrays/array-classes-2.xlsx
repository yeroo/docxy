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is\source\workbench\docxy-issue-874\corpus\legacy\arrays\"/>
    </mc:Choice>
  </mc:AlternateContent>
  <xr:revisionPtr revIDLastSave="0" documentId="8_{190A2456-47F0-4AC6-A325-6F8D6CF224DD}" xr6:coauthVersionLast="47" xr6:coauthVersionMax="47" xr10:uidLastSave="{00000000-0000-0000-0000-000000000000}"/>
  <bookViews>
    <workbookView xWindow="2340" yWindow="2340" windowWidth="21600" windowHeight="11295" activeTab="2" xr2:uid="{E2D0729D-E716-41B3-90D6-51C2311357EA}"/>
  </bookViews>
  <sheets>
    <sheet name="Cell" sheetId="1" r:id="rId1"/>
    <sheet name="Arr" sheetId="2" r:id="rId2"/>
    <sheet name="Dyn" sheetId="3" r:id="rId3"/>
  </sheets>
  <definedNames>
    <definedName name="AbsA">ABS(Cell!$A$1:$A$3)</definedName>
    <definedName name="Big">IF(Cell!$A$1:$A$3&gt;1,Cell!$B$1:$B$3)</definedName>
    <definedName name="LenC">LEN(Cell!$C$1:$C$3)</definedName>
    <definedName name="Neg">-Cell!$A$1:$A$3</definedName>
    <definedName name="PickB">INDEX(Cell!$B$1:$B$3,Cell!$D$1:$D$2)</definedName>
    <definedName name="SumAB">SUM(Cell!$A$1:$A$3*Cell!$B$1:$B$3)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1" i="3" l="1"/>
  <c r="F49" i="2" a="1"/>
  <c r="F49" i="2" s="1"/>
  <c r="F49" i="1"/>
  <c r="BA1" i="3"/>
  <c r="F48" i="2" a="1"/>
  <c r="F48" i="2" s="1"/>
  <c r="F48" i="1"/>
  <c r="AZ1" i="3" a="1"/>
  <c r="AZ1" i="3" s="1"/>
  <c r="F47" i="2" a="1"/>
  <c r="F47" i="2" s="1"/>
  <c r="F47" i="1"/>
  <c r="AY1" i="3"/>
  <c r="F46" i="2" a="1"/>
  <c r="F46" i="2" s="1"/>
  <c r="F46" i="1"/>
  <c r="AX1" i="3"/>
  <c r="F45" i="2" a="1"/>
  <c r="F45" i="2" s="1"/>
  <c r="F45" i="1"/>
  <c r="AW1" i="3"/>
  <c r="F44" i="2" a="1"/>
  <c r="F44" i="2" s="1"/>
  <c r="F44" i="1"/>
  <c r="AV1" i="3" a="1"/>
  <c r="AV1" i="3" s="1"/>
  <c r="F43" i="2" a="1"/>
  <c r="F43" i="2" s="1"/>
  <c r="F43" i="1"/>
  <c r="AU1" i="3" a="1"/>
  <c r="AU1" i="3" s="1"/>
  <c r="F42" i="2" a="1"/>
  <c r="F42" i="2" s="1"/>
  <c r="F42" i="1"/>
  <c r="AT1" i="3" a="1"/>
  <c r="AT1" i="3" s="1"/>
  <c r="F41" i="2" a="1"/>
  <c r="F41" i="2" s="1"/>
  <c r="F41" i="1"/>
  <c r="AS1" i="3" a="1"/>
  <c r="AS1" i="3" s="1"/>
  <c r="F40" i="2" a="1"/>
  <c r="F40" i="2" s="1"/>
  <c r="F40" i="1"/>
  <c r="AR1" i="3" a="1"/>
  <c r="AR1" i="3" s="1"/>
  <c r="F39" i="2" a="1"/>
  <c r="F39" i="2" s="1"/>
  <c r="F39" i="1"/>
  <c r="AQ1" i="3" a="1"/>
  <c r="AQ1" i="3" s="1"/>
  <c r="F38" i="2" a="1"/>
  <c r="F38" i="2" s="1"/>
  <c r="F38" i="1"/>
  <c r="AP1" i="3"/>
  <c r="F37" i="2" a="1"/>
  <c r="F37" i="2" s="1"/>
  <c r="F37" i="1"/>
  <c r="AO1" i="3"/>
  <c r="F36" i="2" a="1"/>
  <c r="F36" i="2" s="1"/>
  <c r="F36" i="1"/>
  <c r="AN1" i="3" a="1"/>
  <c r="AN1" i="3" s="1"/>
  <c r="F35" i="2" a="1"/>
  <c r="F35" i="2" s="1"/>
  <c r="F35" i="1"/>
  <c r="AM1" i="3" a="1"/>
  <c r="AM1" i="3" s="1"/>
  <c r="F34" i="2" a="1"/>
  <c r="F34" i="2" s="1"/>
  <c r="F34" i="1"/>
  <c r="AL1" i="3"/>
  <c r="F33" i="2" a="1"/>
  <c r="F33" i="2" s="1"/>
  <c r="F33" i="1"/>
  <c r="AK1" i="3"/>
  <c r="F32" i="2" a="1"/>
  <c r="F32" i="2" s="1"/>
  <c r="F32" i="1"/>
  <c r="AJ1" i="3" a="1"/>
  <c r="AJ1" i="3" s="1"/>
  <c r="F31" i="2" a="1"/>
  <c r="F31" i="2" s="1"/>
  <c r="F31" i="1"/>
  <c r="AI1" i="3" a="1"/>
  <c r="AI1" i="3" s="1"/>
  <c r="F30" i="2" a="1"/>
  <c r="F30" i="2" s="1"/>
  <c r="F30" i="1"/>
  <c r="AH1" i="3" a="1"/>
  <c r="AH1" i="3" s="1"/>
  <c r="F29" i="2" a="1"/>
  <c r="F29" i="2" s="1"/>
  <c r="F29" i="1"/>
  <c r="AG1" i="3" a="1"/>
  <c r="AG1" i="3" s="1"/>
  <c r="F28" i="2" a="1"/>
  <c r="F28" i="2" s="1"/>
  <c r="F28" i="1"/>
  <c r="AF1" i="3"/>
  <c r="F27" i="2" a="1"/>
  <c r="F27" i="2" s="1"/>
  <c r="F27" i="1"/>
  <c r="AE1" i="3"/>
  <c r="F26" i="2" a="1"/>
  <c r="F26" i="2" s="1"/>
  <c r="F26" i="1"/>
  <c r="AD1" i="3" a="1"/>
  <c r="AD1" i="3" s="1"/>
  <c r="F25" i="2" a="1"/>
  <c r="F25" i="2" s="1"/>
  <c r="F25" i="1"/>
  <c r="AC1" i="3" a="1"/>
  <c r="AC1" i="3" s="1"/>
  <c r="F24" i="2" a="1"/>
  <c r="F24" i="2" s="1"/>
  <c r="F24" i="1"/>
  <c r="AB1" i="3"/>
  <c r="F23" i="2" a="1"/>
  <c r="F23" i="2" s="1"/>
  <c r="F23" i="1"/>
  <c r="AA1" i="3"/>
  <c r="F22" i="2" a="1"/>
  <c r="F22" i="2" s="1"/>
  <c r="F22" i="1"/>
  <c r="Z1" i="3"/>
  <c r="F21" i="2" a="1"/>
  <c r="F21" i="2" s="1"/>
  <c r="F21" i="1"/>
  <c r="Y1" i="3"/>
  <c r="F20" i="2" a="1"/>
  <c r="F20" i="2" s="1"/>
  <c r="F20" i="1"/>
  <c r="X1" i="3" a="1"/>
  <c r="X1" i="3" s="1"/>
  <c r="F19" i="2" a="1"/>
  <c r="F19" i="2" s="1"/>
  <c r="F19" i="1"/>
  <c r="W1" i="3" a="1"/>
  <c r="W1" i="3" s="1"/>
  <c r="F18" i="2" a="1"/>
  <c r="F18" i="2" s="1"/>
  <c r="F18" i="1"/>
  <c r="V1" i="3" a="1"/>
  <c r="V1" i="3" s="1"/>
  <c r="F17" i="2" a="1"/>
  <c r="F17" i="2" s="1"/>
  <c r="F17" i="1"/>
  <c r="U1" i="3" a="1"/>
  <c r="U1" i="3" s="1"/>
  <c r="F16" i="2" a="1"/>
  <c r="F16" i="2" s="1"/>
  <c r="F16" i="1"/>
  <c r="T1" i="3" a="1"/>
  <c r="T1" i="3" s="1"/>
  <c r="F15" i="2" a="1"/>
  <c r="F15" i="2" s="1"/>
  <c r="F15" i="1"/>
  <c r="S1" i="3"/>
  <c r="F14" i="2" a="1"/>
  <c r="F14" i="2" s="1"/>
  <c r="F14" i="1"/>
  <c r="R1" i="3" a="1"/>
  <c r="R1" i="3" s="1"/>
  <c r="F13" i="2" a="1"/>
  <c r="F13" i="2" s="1"/>
  <c r="F13" i="1"/>
  <c r="Q1" i="3" a="1"/>
  <c r="Q1" i="3" s="1"/>
  <c r="F12" i="2" a="1"/>
  <c r="F12" i="2" s="1"/>
  <c r="F12" i="1"/>
  <c r="P1" i="3" a="1"/>
  <c r="P1" i="3" s="1"/>
  <c r="F11" i="2" a="1"/>
  <c r="F11" i="2" s="1"/>
  <c r="F11" i="1"/>
  <c r="O1" i="3"/>
  <c r="F10" i="2" a="1"/>
  <c r="F10" i="2" s="1"/>
  <c r="F10" i="1"/>
  <c r="N1" i="3" a="1"/>
  <c r="N1" i="3" s="1"/>
  <c r="F9" i="2" a="1"/>
  <c r="F9" i="2" s="1"/>
  <c r="F9" i="1"/>
  <c r="M1" i="3" a="1"/>
  <c r="M1" i="3" s="1"/>
  <c r="F8" i="2" a="1"/>
  <c r="F8" i="2" s="1"/>
  <c r="F8" i="1"/>
  <c r="L1" i="3" a="1"/>
  <c r="L1" i="3" s="1"/>
  <c r="F7" i="2" a="1"/>
  <c r="F7" i="2" s="1"/>
  <c r="F7" i="1"/>
  <c r="K1" i="3" a="1"/>
  <c r="K1" i="3" s="1"/>
  <c r="F6" i="2" a="1"/>
  <c r="F6" i="2" s="1"/>
  <c r="F6" i="1"/>
  <c r="J1" i="3" a="1"/>
  <c r="J1" i="3" s="1"/>
  <c r="F5" i="2" a="1"/>
  <c r="F5" i="2" s="1"/>
  <c r="F5" i="1"/>
  <c r="I1" i="3" a="1"/>
  <c r="I1" i="3" s="1"/>
  <c r="F4" i="2" a="1"/>
  <c r="F4" i="2" s="1"/>
  <c r="F4" i="1"/>
  <c r="H1" i="3" a="1"/>
  <c r="H1" i="3" s="1"/>
  <c r="F3" i="2" a="1"/>
  <c r="F3" i="2" s="1"/>
  <c r="F3" i="1"/>
  <c r="G1" i="3" a="1"/>
  <c r="G1" i="3" s="1"/>
  <c r="F2" i="2" a="1"/>
  <c r="F2" i="2" s="1"/>
  <c r="F2" i="1"/>
  <c r="F1" i="3" a="1"/>
  <c r="F1" i="3" s="1"/>
  <c r="F1" i="2" a="1"/>
  <c r="F1" i="2" s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<sst xmlns="http://schemas.openxmlformats.org/spreadsheetml/2006/main" count="9" uniqueCount="2">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</sst>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4B44-C1AF-433D-B235-B8BC8BE9D7AD}">
  <dimension ref="A1:F49"/>
  <sheetViews>
    <sheetView workbookViewId="0"/>
  </sheetViews>
  <sheetFormatPr defaultRowHeight="15" x14ac:dyDescent="0.25"/>
  <sheetData>
    <row r="1" spans="1:6" x14ac:dyDescent="0.25">
      <c r="A1">
        <v>1</v>
      </c>
      <c r="B1">
        <v>10</v>
      </c>
      <c r="C1" t="s">
        <v>0</v>
      </c>
      <c r="D1">
        <v>1</v>
      </c>
      <c r="F1">
        <f>SUM(LEN(C1:C3))</f>
        <v>1</v>
      </c>
    </row>
    <row r="2" spans="1:6" x14ac:dyDescent="0.25">
      <c r="A2">
        <v>2</v>
      </c>
      <c r="B2">
        <v>20</v>
      </c>
      <c r="C2" t="s">
        <v>1</v>
      </c>
      <c r="D2">
        <v>2</v>
      </c>
      <c r="F2">
        <f>MAX(ABS(A1:A3-2))</f>
        <v>0</v>
      </c>
    </row>
    <row r="3" spans="1:6" x14ac:dyDescent="0.25">
      <c r="A3">
        <v>3</v>
      </c>
      <c r="B3">
        <v>30</v>
      </c>
      <c r="C3" t="s">
        <v>0</v>
      </c>
      <c r="F3">
        <f>SUM(IFERROR(1/A1:A3,0))</f>
        <v>0.33333333333333331</v>
      </c>
    </row>
    <row r="4" spans="1:6" x14ac:dyDescent="0.25">
      <c r="F4" t="e">
        <f>SUM(IF(A1:A3&gt;1,LEN(C1:C3)))</f>
        <v>#VALUE!</v>
      </c>
    </row>
    <row r="5" spans="1:6" x14ac:dyDescent="0.25">
      <c r="F5">
        <f>SUM(INDEX(A1:A3,{1;2}))</f>
        <v>1</v>
      </c>
    </row>
    <row r="6" spans="1:6" x14ac:dyDescent="0.25">
      <c r="F6" t="e">
        <f>SUM(INDEX(A1:A3,D1:D2))</f>
        <v>#VALUE!</v>
      </c>
    </row>
    <row r="7" spans="1:6" x14ac:dyDescent="0.25">
      <c r="F7" t="e">
        <f>SUM(VLOOKUP(A1:A3,A1:B3,2,0))</f>
        <v>#VALUE!</v>
      </c>
    </row>
    <row r="8" spans="1:6" x14ac:dyDescent="0.25">
      <c r="F8" t="e">
        <f>SUM(HLOOKUP(A1,A1:B3,D1:D2,0))</f>
        <v>#VALUE!</v>
      </c>
    </row>
    <row r="9" spans="1:6" x14ac:dyDescent="0.25">
      <c r="F9" t="e">
        <f>SUM(MATCH(A1:A3,A1:A3,0))</f>
        <v>#VALUE!</v>
      </c>
    </row>
    <row r="10" spans="1:6" x14ac:dyDescent="0.25">
      <c r="F10">
        <f>SUM(INDEX(A1:A3,N(IF(1,D1:D2))))</f>
        <v>1</v>
      </c>
    </row>
    <row r="11" spans="1:6" x14ac:dyDescent="0.25">
      <c r="F11" t="e">
        <f>SUM(-A1:A3)</f>
        <v>#VALUE!</v>
      </c>
    </row>
    <row r="12" spans="1:6" x14ac:dyDescent="0.25">
      <c r="F12" t="e">
        <f>SUM(ROUND(A1:A3*1.5,0))</f>
        <v>#VALUE!</v>
      </c>
    </row>
    <row r="13" spans="1:6" x14ac:dyDescent="0.25">
      <c r="F13">
        <f>SUMPRODUCT(--(C1:C3="x"),B1:B3)</f>
        <v>40</v>
      </c>
    </row>
    <row r="14" spans="1:6" x14ac:dyDescent="0.25">
      <c r="F14">
        <f>SUM(CHOOSE(2,A1:A3,B1:B3))</f>
        <v>60</v>
      </c>
    </row>
    <row r="15" spans="1:6" x14ac:dyDescent="0.25">
      <c r="F15" t="e">
        <f ca="1">SUM(OFFSET(A1,0,0,3,1)*2)</f>
        <v>#VALUE!</v>
      </c>
    </row>
    <row r="16" spans="1:6" x14ac:dyDescent="0.25">
      <c r="F16" t="e">
        <f>A1:A3%</f>
        <v>#VALUE!</v>
      </c>
    </row>
    <row r="17" spans="6:6" x14ac:dyDescent="0.25">
      <c r="F17" t="e">
        <f>A1:A3&gt;1</f>
        <v>#VALUE!</v>
      </c>
    </row>
    <row r="18" spans="6:6" x14ac:dyDescent="0.25">
      <c r="F18" t="e">
        <f>SUM((A1:A3&gt;1)*1)</f>
        <v>#VALUE!</v>
      </c>
    </row>
    <row r="19" spans="6:6" x14ac:dyDescent="0.25">
      <c r="F19" t="e">
        <f>AVERAGE(IF(C1:C3="x",B1:B3))</f>
        <v>#VALUE!</v>
      </c>
    </row>
    <row r="20" spans="6:6" x14ac:dyDescent="0.25">
      <c r="F20">
        <f>COUNTIF(A1:A3,"&gt;1")</f>
        <v>2</v>
      </c>
    </row>
    <row r="21" spans="6:6" x14ac:dyDescent="0.25">
      <c r="F21">
        <f>SUMIF(C1:C3,"x",B1:B3)</f>
        <v>40</v>
      </c>
    </row>
    <row r="22" spans="6:6" x14ac:dyDescent="0.25">
      <c r="F22" t="str">
        <f>TEXT(SUM(A1:A3),"0")</f>
        <v>6</v>
      </c>
    </row>
    <row r="23" spans="6:6" x14ac:dyDescent="0.25">
      <c r="F23">
        <f>ROWS(A1:A3)*2</f>
        <v>6</v>
      </c>
    </row>
    <row r="24" spans="6:6" x14ac:dyDescent="0.25">
      <c r="F24">
        <f>SUM(ROW(A1:A3))</f>
        <v>1</v>
      </c>
    </row>
    <row r="25" spans="6:6" x14ac:dyDescent="0.25">
      <c r="F25" t="e">
        <f>LARGE(A1:A3*2,1)</f>
        <v>#VALUE!</v>
      </c>
    </row>
    <row r="26" spans="6:6" x14ac:dyDescent="0.25">
      <c r="F26">
        <f>SUM(N(A1:A3))</f>
        <v>1</v>
      </c>
    </row>
    <row r="27" spans="6:6" x14ac:dyDescent="0.25">
      <c r="F27">
        <f>SUM(IF(A1&gt;1,A1:A3,B1:B3))</f>
        <v>60</v>
      </c>
    </row>
    <row r="28" spans="6:6" x14ac:dyDescent="0.25">
      <c r="F28">
        <f>SUM(ISNUMBER(A1:A3)*1)</f>
        <v>0</v>
      </c>
    </row>
    <row r="29" spans="6:6" x14ac:dyDescent="0.25">
      <c r="F29" t="e">
        <f>ABS(A1:A3)</f>
        <v>#VALUE!</v>
      </c>
    </row>
    <row r="30" spans="6:6" x14ac:dyDescent="0.25">
      <c r="F30" t="e">
        <f>LEN(C1:C3)</f>
        <v>#VALUE!</v>
      </c>
    </row>
    <row r="31" spans="6:6" x14ac:dyDescent="0.25">
      <c r="F31" t="e">
        <f>A1:A3*B1:B3</f>
        <v>#VALUE!</v>
      </c>
    </row>
    <row r="32" spans="6:6" x14ac:dyDescent="0.25">
      <c r="F32">
        <f>INDEX(A1:A3,2)</f>
        <v>2</v>
      </c>
    </row>
    <row r="33" spans="6:6" x14ac:dyDescent="0.25">
      <c r="F33">
        <f>MAX(A1:A3)+MIN(B1:B3)</f>
        <v>13</v>
      </c>
    </row>
    <row r="34" spans="6:6" x14ac:dyDescent="0.25">
      <c r="F34" t="e">
        <f>IF(A1:A3&gt;1,A1:A3,0)</f>
        <v>#VALUE!</v>
      </c>
    </row>
    <row r="35" spans="6:6" x14ac:dyDescent="0.25">
      <c r="F35" t="e">
        <f>CONCATENATE(C1:C3,"!")</f>
        <v>#VALUE!</v>
      </c>
    </row>
    <row r="36" spans="6:6" x14ac:dyDescent="0.25">
      <c r="F36">
        <f>SUM(A1:A3,B1)</f>
        <v>16</v>
      </c>
    </row>
    <row r="37" spans="6:6" x14ac:dyDescent="0.25">
      <c r="F37">
        <f>VLOOKUP(2,A1:B3,2,0)</f>
        <v>20</v>
      </c>
    </row>
    <row r="38" spans="6:6" x14ac:dyDescent="0.25">
      <c r="F38">
        <f>SUMPRODUCT(MAX((C1:C3="x")*B1:B3))</f>
        <v>30</v>
      </c>
    </row>
    <row r="39" spans="6:6" x14ac:dyDescent="0.25">
      <c r="F39">
        <f>SUMPRODUCT(LARGE((A1:A3&gt;1)*B1:B3,{1,2}))</f>
        <v>50</v>
      </c>
    </row>
    <row r="40" spans="6:6" x14ac:dyDescent="0.25">
      <c r="F40" t="e">
        <f>SUMPRODUCT(MAX(LEN(C1:C3)))</f>
        <v>#VALUE!</v>
      </c>
    </row>
    <row r="41" spans="6:6" x14ac:dyDescent="0.25">
      <c r="F41">
        <f>LOOKUP(2,1/(A1:A3&gt;1),B1:B3)</f>
        <v>30</v>
      </c>
    </row>
    <row r="42" spans="6:6" x14ac:dyDescent="0.25">
      <c r="F42">
        <f>INDEX(B1:B3,MATCH(1,INDEX((A1:A3&gt;1)*(C1:C3="x"),0),0))</f>
        <v>30</v>
      </c>
    </row>
    <row r="43" spans="6:6" x14ac:dyDescent="0.25">
      <c r="F43" s="1">
        <f>IRR(A1:A3*1-2)</f>
        <v>0</v>
      </c>
    </row>
    <row r="44" spans="6:6" x14ac:dyDescent="0.25">
      <c r="F44">
        <f>LOOKUP(2,A1:A3,B1:B3)</f>
        <v>20</v>
      </c>
    </row>
    <row r="45" spans="6:6" x14ac:dyDescent="0.25">
      <c r="F45" s="1" t="e">
        <f>IRR(B1:B3)</f>
        <v>#NUM!</v>
      </c>
    </row>
    <row r="46" spans="6:6" x14ac:dyDescent="0.25">
      <c r="F46">
        <f>SUM(TREND(B1:B3,A1:A3))</f>
        <v>60</v>
      </c>
    </row>
    <row r="47" spans="6:6" x14ac:dyDescent="0.25">
      <c r="F47">
        <f>INDEX(LINEST(B1:B3,A1:A3),1)</f>
        <v>10</v>
      </c>
    </row>
    <row r="48" spans="6:6" x14ac:dyDescent="0.25">
      <c r="F48">
        <f>SUM(FREQUENCY(A1:A3,D1:D2))</f>
        <v>3</v>
      </c>
    </row>
    <row r="49" spans="6:6" x14ac:dyDescent="0.25">
      <c r="F49">
        <f>INDEX(A1:B3,2,2)</f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F16F-B5C2-4C4C-9B79-1AC2A312CA82}">
  <dimension ref="A1:F49"/>
  <sheetViews>
    <sheetView workbookViewId="0"/>
  </sheetViews>
  <sheetFormatPr defaultRowHeight="15" x14ac:dyDescent="0.25"/>
  <sheetData>
    <row r="1" spans="1:6" x14ac:dyDescent="0.25">
      <c r="A1">
        <v>1</v>
      </c>
      <c r="B1">
        <v>10</v>
      </c>
      <c r="C1" t="s">
        <v>0</v>
      </c>
      <c r="D1">
        <v>1</v>
      </c>
      <c r="F1">
        <f t="array" ref="F1">SUM(LEN(C1:C3))</f>
        <v>3</v>
      </c>
    </row>
    <row r="2" spans="1:6" x14ac:dyDescent="0.25">
      <c r="A2">
        <v>2</v>
      </c>
      <c r="B2">
        <v>20</v>
      </c>
      <c r="C2" t="s">
        <v>1</v>
      </c>
      <c r="D2">
        <v>2</v>
      </c>
      <c r="F2">
        <f t="array" ref="F2">MAX(ABS(A1:A3-2))</f>
        <v>1</v>
      </c>
    </row>
    <row r="3" spans="1:6" x14ac:dyDescent="0.25">
      <c r="A3">
        <v>3</v>
      </c>
      <c r="B3">
        <v>30</v>
      </c>
      <c r="C3" t="s">
        <v>0</v>
      </c>
      <c r="F3">
        <f t="array" ref="F3">SUM(IFERROR(1/A1:A3,0))</f>
        <v>1.8333333333333333</v>
      </c>
    </row>
    <row r="4" spans="1:6" x14ac:dyDescent="0.25">
      <c r="F4">
        <f t="array" ref="F4">SUM(IF(A1:A3&gt;1,LEN(C1:C3)))</f>
        <v>2</v>
      </c>
    </row>
    <row r="5" spans="1:6" x14ac:dyDescent="0.25">
      <c r="F5">
        <f t="array" ref="F5">SUM(INDEX(A1:A3,{1;2}))</f>
        <v>1</v>
      </c>
    </row>
    <row r="6" spans="1:6" x14ac:dyDescent="0.25">
      <c r="F6">
        <f t="array" ref="F6">SUM(INDEX(A1:A3,D1:D2))</f>
        <v>1</v>
      </c>
    </row>
    <row r="7" spans="1:6" x14ac:dyDescent="0.25">
      <c r="F7">
        <f t="array" ref="F7">SUM(VLOOKUP(A1:A3,A1:B3,2,0))</f>
        <v>10</v>
      </c>
    </row>
    <row r="8" spans="1:6" x14ac:dyDescent="0.25">
      <c r="F8">
        <f t="array" ref="F8">SUM(HLOOKUP(A1,A1:B3,D1:D2,0))</f>
        <v>3</v>
      </c>
    </row>
    <row r="9" spans="1:6" x14ac:dyDescent="0.25">
      <c r="F9">
        <f t="array" ref="F9">SUM(MATCH(A1:A3,A1:A3,0))</f>
        <v>6</v>
      </c>
    </row>
    <row r="10" spans="1:6" x14ac:dyDescent="0.25">
      <c r="F10">
        <f t="array" ref="F10">SUM(INDEX(A1:A3,N(IF(1,D1:D2))))</f>
        <v>1</v>
      </c>
    </row>
    <row r="11" spans="1:6" x14ac:dyDescent="0.25">
      <c r="F11">
        <f t="array" ref="F11">SUM(-A1:A3)</f>
        <v>-6</v>
      </c>
    </row>
    <row r="12" spans="1:6" x14ac:dyDescent="0.25">
      <c r="F12">
        <f t="array" ref="F12">SUM(ROUND(A1:A3*1.5,0))</f>
        <v>10</v>
      </c>
    </row>
    <row r="13" spans="1:6" x14ac:dyDescent="0.25">
      <c r="F13">
        <f t="array" ref="F13">SUMPRODUCT(--(C1:C3="x"),B1:B3)</f>
        <v>40</v>
      </c>
    </row>
    <row r="14" spans="1:6" x14ac:dyDescent="0.25">
      <c r="F14">
        <f t="array" ref="F14">SUM(CHOOSE(2,A1:A3,B1:B3))</f>
        <v>60</v>
      </c>
    </row>
    <row r="15" spans="1:6" x14ac:dyDescent="0.25">
      <c r="F15">
        <f t="array" aca="1" ref="F15" ca="1">SUM(OFFSET(A1,0,0,3,1)*2)</f>
        <v>12</v>
      </c>
    </row>
    <row r="16" spans="1:6" x14ac:dyDescent="0.25">
      <c r="F16">
        <f t="array" ref="F16">A1:A3%</f>
        <v>0.01</v>
      </c>
    </row>
    <row r="17" spans="6:6" x14ac:dyDescent="0.25">
      <c r="F17" t="b">
        <f t="array" ref="F17">A1:A3&gt;1</f>
        <v>0</v>
      </c>
    </row>
    <row r="18" spans="6:6" x14ac:dyDescent="0.25">
      <c r="F18">
        <f t="array" ref="F18">SUM((A1:A3&gt;1)*1)</f>
        <v>2</v>
      </c>
    </row>
    <row r="19" spans="6:6" x14ac:dyDescent="0.25">
      <c r="F19">
        <f t="array" ref="F19">AVERAGE(IF(C1:C3="x",B1:B3))</f>
        <v>20</v>
      </c>
    </row>
    <row r="20" spans="6:6" x14ac:dyDescent="0.25">
      <c r="F20">
        <f t="array" ref="F20">COUNTIF(A1:A3,"&gt;1")</f>
        <v>2</v>
      </c>
    </row>
    <row r="21" spans="6:6" x14ac:dyDescent="0.25">
      <c r="F21">
        <f t="array" ref="F21">SUMIF(C1:C3,"x",B1:B3)</f>
        <v>40</v>
      </c>
    </row>
    <row r="22" spans="6:6" x14ac:dyDescent="0.25">
      <c r="F22" t="str">
        <f t="array" ref="F22">TEXT(SUM(A1:A3),"0")</f>
        <v>6</v>
      </c>
    </row>
    <row r="23" spans="6:6" x14ac:dyDescent="0.25">
      <c r="F23">
        <f t="array" ref="F23">ROWS(A1:A3)*2</f>
        <v>6</v>
      </c>
    </row>
    <row r="24" spans="6:6" x14ac:dyDescent="0.25">
      <c r="F24">
        <f t="array" ref="F24">SUM(ROW(A1:A3))</f>
        <v>6</v>
      </c>
    </row>
    <row r="25" spans="6:6" x14ac:dyDescent="0.25">
      <c r="F25">
        <f t="array" ref="F25">LARGE(A1:A3*2,1)</f>
        <v>6</v>
      </c>
    </row>
    <row r="26" spans="6:6" x14ac:dyDescent="0.25">
      <c r="F26">
        <f t="array" ref="F26">SUM(N(A1:A3))</f>
        <v>1</v>
      </c>
    </row>
    <row r="27" spans="6:6" x14ac:dyDescent="0.25">
      <c r="F27">
        <f t="array" ref="F27">SUM(IF(A1&gt;1,A1:A3,B1:B3))</f>
        <v>60</v>
      </c>
    </row>
    <row r="28" spans="6:6" x14ac:dyDescent="0.25">
      <c r="F28">
        <f t="array" ref="F28">SUM(ISNUMBER(A1:A3)*1)</f>
        <v>3</v>
      </c>
    </row>
    <row r="29" spans="6:6" x14ac:dyDescent="0.25">
      <c r="F29">
        <f t="array" ref="F29">ABS(A1:A3)</f>
        <v>1</v>
      </c>
    </row>
    <row r="30" spans="6:6" x14ac:dyDescent="0.25">
      <c r="F30">
        <f t="array" ref="F30">LEN(C1:C3)</f>
        <v>1</v>
      </c>
    </row>
    <row r="31" spans="6:6" x14ac:dyDescent="0.25">
      <c r="F31">
        <f t="array" ref="F31">A1:A3*B1:B3</f>
        <v>10</v>
      </c>
    </row>
    <row r="32" spans="6:6" x14ac:dyDescent="0.25">
      <c r="F32">
        <f t="array" ref="F32">INDEX(A1:A3,2)</f>
        <v>2</v>
      </c>
    </row>
    <row r="33" spans="6:6" x14ac:dyDescent="0.25">
      <c r="F33">
        <f t="array" ref="F33">MAX(A1:A3)+MIN(B1:B3)</f>
        <v>13</v>
      </c>
    </row>
    <row r="34" spans="6:6" x14ac:dyDescent="0.25">
      <c r="F34">
        <f t="array" ref="F34">IF(A1:A3&gt;1,A1:A3,0)</f>
        <v>0</v>
      </c>
    </row>
    <row r="35" spans="6:6" x14ac:dyDescent="0.25">
      <c r="F35" t="str">
        <f t="array" ref="F35">CONCATENATE(C1:C3,"!")</f>
        <v>x!</v>
      </c>
    </row>
    <row r="36" spans="6:6" x14ac:dyDescent="0.25">
      <c r="F36">
        <f t="array" ref="F36">SUM(A1:A3,B1)</f>
        <v>16</v>
      </c>
    </row>
    <row r="37" spans="6:6" x14ac:dyDescent="0.25">
      <c r="F37">
        <f t="array" ref="F37">VLOOKUP(2,A1:B3,2,0)</f>
        <v>20</v>
      </c>
    </row>
    <row r="38" spans="6:6" x14ac:dyDescent="0.25">
      <c r="F38">
        <f t="array" ref="F38">SUMPRODUCT(MAX((C1:C3="x")*B1:B3))</f>
        <v>30</v>
      </c>
    </row>
    <row r="39" spans="6:6" x14ac:dyDescent="0.25">
      <c r="F39">
        <f t="array" ref="F39">SUMPRODUCT(LARGE((A1:A3&gt;1)*B1:B3,{1,2}))</f>
        <v>50</v>
      </c>
    </row>
    <row r="40" spans="6:6" x14ac:dyDescent="0.25">
      <c r="F40">
        <f t="array" ref="F40">SUMPRODUCT(MAX(LEN(C1:C3)))</f>
        <v>1</v>
      </c>
    </row>
    <row r="41" spans="6:6" x14ac:dyDescent="0.25">
      <c r="F41">
        <f t="array" ref="F41">LOOKUP(2,1/(A1:A3&gt;1),B1:B3)</f>
        <v>30</v>
      </c>
    </row>
    <row r="42" spans="6:6" x14ac:dyDescent="0.25">
      <c r="F42">
        <f t="array" ref="F42">INDEX(B1:B3,MATCH(1,INDEX((A1:A3&gt;1)*(C1:C3="x"),0),0))</f>
        <v>30</v>
      </c>
    </row>
    <row r="43" spans="6:6" x14ac:dyDescent="0.25">
      <c r="F43">
        <f t="array" ref="F43">IRR(A1:A3*1-2)</f>
        <v>0</v>
      </c>
    </row>
    <row r="44" spans="6:6" x14ac:dyDescent="0.25">
      <c r="F44">
        <f t="array" ref="F44">LOOKUP(2,A1:A3,B1:B3)</f>
        <v>20</v>
      </c>
    </row>
    <row r="45" spans="6:6" x14ac:dyDescent="0.25">
      <c r="F45" t="e">
        <f t="array" ref="F45">IRR(B1:B3)</f>
        <v>#NUM!</v>
      </c>
    </row>
    <row r="46" spans="6:6" x14ac:dyDescent="0.25">
      <c r="F46">
        <f t="array" ref="F46">SUM(TREND(B1:B3,A1:A3))</f>
        <v>60</v>
      </c>
    </row>
    <row r="47" spans="6:6" x14ac:dyDescent="0.25">
      <c r="F47">
        <f t="array" ref="F47">INDEX(LINEST(B1:B3,A1:A3),1)</f>
        <v>10</v>
      </c>
    </row>
    <row r="48" spans="6:6" x14ac:dyDescent="0.25">
      <c r="F48">
        <f t="array" ref="F48">SUM(FREQUENCY(A1:A3,D1:D2))</f>
        <v>3</v>
      </c>
    </row>
    <row r="49" spans="6:6" x14ac:dyDescent="0.25">
      <c r="F49">
        <f t="array" ref="F49">INDEX(A1:B3,2,2)</f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6804-CBAB-4FDD-B53B-E7A83DB4B259}">
  <dimension ref="A1:BB3"/>
  <sheetViews>
    <sheetView tabSelected="1" workbookViewId="0"/>
  </sheetViews>
  <sheetFormatPr defaultRowHeight="15" x14ac:dyDescent="0.25"/>
  <sheetData>
    <row r="1" spans="1:54" x14ac:dyDescent="0.25">
      <c r="A1">
        <v>1</v>
      </c>
      <c r="B1">
        <v>10</v>
      </c>
      <c r="C1" t="s">
        <v>0</v>
      </c>
      <c r="D1">
        <v>1</v>
      </c>
      <c r="F1" cm="1">
        <f t="array" ref="F1">SUM(LEN(C1:C3))</f>
        <v>3</v>
      </c>
      <c r="G1" cm="1">
        <f t="array" ref="G1">MAX(ABS(A1:A3-2))</f>
        <v>1</v>
      </c>
      <c r="H1" cm="1">
        <f t="array" ref="H1">SUM(IFERROR(1/A1:A3,0))</f>
        <v>1.8333333333333333</v>
      </c>
      <c r="I1" cm="1">
        <f t="array" ref="I1">SUM(IF(A1:A3&gt;1,LEN(C1:C3)))</f>
        <v>2</v>
      </c>
      <c r="J1" cm="1">
        <f t="array" ref="J1">SUM(INDEX(A1:A3,{1;2}))</f>
        <v>3</v>
      </c>
      <c r="K1" cm="1">
        <f t="array" ref="K1">SUM(INDEX(A1:A3,D1:D2))</f>
        <v>3</v>
      </c>
      <c r="L1" cm="1">
        <f t="array" ref="L1">SUM(VLOOKUP(A1:A3,A1:B3,2,0))</f>
        <v>60</v>
      </c>
      <c r="M1" cm="1">
        <f t="array" ref="M1">SUM(HLOOKUP(A1,A1:B3,D1:D2,0))</f>
        <v>3</v>
      </c>
      <c r="N1" cm="1">
        <f t="array" ref="N1">SUM(MATCH(A1:A3,A1:A3,0))</f>
        <v>6</v>
      </c>
      <c r="O1">
        <f>SUM(INDEX(A1:A3,N(IF(1,D1:D2))))</f>
        <v>1</v>
      </c>
      <c r="P1" cm="1">
        <f t="array" ref="P1">SUM(-A1:A3)</f>
        <v>-6</v>
      </c>
      <c r="Q1" cm="1">
        <f t="array" ref="Q1">SUM(ROUND(A1:A3*1.5,0))</f>
        <v>10</v>
      </c>
      <c r="R1" cm="1">
        <f t="array" ref="R1">SUMPRODUCT(--(C1:C3="x"),B1:B3)</f>
        <v>40</v>
      </c>
      <c r="S1">
        <f>SUM(CHOOSE(2,A1:A3,B1:B3))</f>
        <v>60</v>
      </c>
      <c r="T1" cm="1">
        <f t="array" aca="1" ref="T1" ca="1">SUM(OFFSET(A1,0,0,3,1)*2)</f>
        <v>12</v>
      </c>
      <c r="U1" cm="1">
        <f t="array" ref="U1:U3">A1:A3%</f>
        <v>0.01</v>
      </c>
      <c r="V1" t="b" cm="1">
        <f t="array" ref="V1:V3">A1:A3&gt;1</f>
        <v>0</v>
      </c>
      <c r="W1" cm="1">
        <f t="array" ref="W1">SUM((A1:A3&gt;1)*1)</f>
        <v>2</v>
      </c>
      <c r="X1" cm="1">
        <f t="array" ref="X1">AVERAGE(IF(C1:C3="x",B1:B3))</f>
        <v>20</v>
      </c>
      <c r="Y1">
        <f>COUNTIF(A1:A3,"&gt;1")</f>
        <v>2</v>
      </c>
      <c r="Z1">
        <f>SUMIF(C1:C3,"x",B1:B3)</f>
        <v>40</v>
      </c>
      <c r="AA1" t="str">
        <f>TEXT(SUM(A1:A3),"0")</f>
        <v>6</v>
      </c>
      <c r="AB1">
        <f>ROWS(A1:A3)*2</f>
        <v>6</v>
      </c>
      <c r="AC1" cm="1">
        <f t="array" ref="AC1">SUM(ROW(A1:A3))</f>
        <v>6</v>
      </c>
      <c r="AD1" cm="1">
        <f t="array" ref="AD1">LARGE(A1:A3*2,1)</f>
        <v>6</v>
      </c>
      <c r="AE1">
        <f>SUM(N(A1:A3))</f>
        <v>1</v>
      </c>
      <c r="AF1">
        <f>SUM(IF(A1&gt;1,A1:A3,B1:B3))</f>
        <v>60</v>
      </c>
      <c r="AG1" cm="1">
        <f t="array" ref="AG1">SUM(ISNUMBER(A1:A3)*1)</f>
        <v>3</v>
      </c>
      <c r="AH1" cm="1">
        <f t="array" ref="AH1:AH3">ABS(A1:A3)</f>
        <v>1</v>
      </c>
      <c r="AI1" cm="1">
        <f t="array" ref="AI1:AI3">LEN(C1:C3)</f>
        <v>1</v>
      </c>
      <c r="AJ1" cm="1">
        <f t="array" ref="AJ1:AJ3">A1:A3*B1:B3</f>
        <v>10</v>
      </c>
      <c r="AK1">
        <f>INDEX(A1:A3,2)</f>
        <v>2</v>
      </c>
      <c r="AL1">
        <f>MAX(A1:A3)+MIN(B1:B3)</f>
        <v>13</v>
      </c>
      <c r="AM1" cm="1">
        <f t="array" ref="AM1:AM3">IF(A1:A3&gt;1,A1:A3,0)</f>
        <v>0</v>
      </c>
      <c r="AN1" t="str" cm="1">
        <f t="array" ref="AN1:AN3">CONCATENATE(C1:C3,"!")</f>
        <v>x!</v>
      </c>
      <c r="AO1">
        <f>SUM(A1:A3,B1)</f>
        <v>16</v>
      </c>
      <c r="AP1">
        <f>VLOOKUP(2,A1:B3,2,0)</f>
        <v>20</v>
      </c>
      <c r="AQ1" cm="1">
        <f t="array" ref="AQ1">SUMPRODUCT(MAX((C1:C3="x")*B1:B3))</f>
        <v>30</v>
      </c>
      <c r="AR1" cm="1">
        <f t="array" ref="AR1">SUMPRODUCT(LARGE((A1:A3&gt;1)*B1:B3,{1,2}))</f>
        <v>50</v>
      </c>
      <c r="AS1" cm="1">
        <f t="array" ref="AS1">SUMPRODUCT(MAX(LEN(C1:C3)))</f>
        <v>1</v>
      </c>
      <c r="AT1" cm="1">
        <f t="array" ref="AT1">LOOKUP(2,1/(A1:A3&gt;1),B1:B3)</f>
        <v>30</v>
      </c>
      <c r="AU1" cm="1">
        <f t="array" ref="AU1">INDEX(B1:B3,MATCH(1,INDEX((A1:A3&gt;1)*(C1:C3="x"),0),0))</f>
        <v>30</v>
      </c>
      <c r="AV1" s="1" cm="1">
        <f t="array" ref="AV1">IRR(A1:A3*1-2)</f>
        <v>0</v>
      </c>
      <c r="AW1">
        <f>LOOKUP(2,A1:A3,B1:B3)</f>
        <v>20</v>
      </c>
      <c r="AX1" s="1" t="e">
        <f>IRR(B1:B3)</f>
        <v>#NUM!</v>
      </c>
      <c r="AY1">
        <f>SUM(TREND(B1:B3,A1:A3))</f>
        <v>60</v>
      </c>
      <c r="AZ1" cm="1">
        <f t="array" ref="AZ1">INDEX(LINEST(B1:B3,A1:A3),1)</f>
        <v>10</v>
      </c>
      <c r="BA1">
        <f>SUM(FREQUENCY(A1:A3,D1:D2))</f>
        <v>3</v>
      </c>
      <c r="BB1">
        <f>INDEX(A1:B3,2,2)</f>
        <v>20</v>
      </c>
    </row>
    <row r="2" spans="1:54" x14ac:dyDescent="0.25">
      <c r="A2">
        <v>2</v>
      </c>
      <c r="B2">
        <v>20</v>
      </c>
      <c r="C2" t="s">
        <v>1</v>
      </c>
      <c r="D2">
        <v>2</v>
      </c>
      <c r="U2">
        <v>0.02</v>
      </c>
      <c r="V2" t="b">
        <v>1</v>
      </c>
      <c r="AH2">
        <v>2</v>
      </c>
      <c r="AI2">
        <v>1</v>
      </c>
      <c r="AJ2">
        <v>40</v>
      </c>
      <c r="AM2">
        <v>2</v>
      </c>
      <c r="AN2" t="str">
        <v>y!</v>
      </c>
    </row>
    <row r="3" spans="1:54" x14ac:dyDescent="0.25">
      <c r="A3">
        <v>3</v>
      </c>
      <c r="B3">
        <v>30</v>
      </c>
      <c r="C3" t="s">
        <v>0</v>
      </c>
      <c r="U3">
        <v>0.03</v>
      </c>
      <c r="V3" t="b">
        <v>1</v>
      </c>
      <c r="AH3">
        <v>3</v>
      </c>
      <c r="AI3">
        <v>1</v>
      </c>
      <c r="AJ3">
        <v>90</v>
      </c>
      <c r="AM3">
        <v>3</v>
      </c>
      <c r="AN3" t="str">
        <v>x!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</vt:lpstr>
      <vt:lpstr>Arr</vt:lpstr>
      <vt:lpstr>Dyn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Kudriashov</dc:creator>
  <cp:lastModifiedBy>Boris Kudriashov</cp:lastModifiedBy>
  <dcterms:created xsi:type="dcterms:W3CDTF">2026-10-14T05:53:01Z</dcterms:created>
  <dcterms:modified xsi:type="dcterms:W3CDTF">2026-10-14T05:53:02Z</dcterms:modified>
</cp:coreProperties>
</file>